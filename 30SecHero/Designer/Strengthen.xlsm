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35B1F74B-73B4-4772-AB34-F29AF8B9899C}" xr6:coauthVersionLast="38" xr6:coauthVersionMax="38" xr10:uidLastSave="{00000000-0000-0000-0000-000000000000}"/>
  <bookViews>
    <workbookView xWindow="240" yWindow="1005" windowWidth="14805" windowHeight="7110" activeTab="2" xr2:uid="{00000000-000D-0000-FFFF-FFFF00000000}"/>
  </bookViews>
  <sheets>
    <sheet name="Strengthen" sheetId="1" r:id="rId1"/>
    <sheet name="Enchant" sheetId="6" r:id="rId2"/>
    <sheet name="BOSS技能" sheetId="7" r:id="rId3"/>
    <sheet name="Ref" sheetId="5" r:id="rId4"/>
  </sheets>
  <functionGroups builtInGroupCount="19"/>
  <externalReferences>
    <externalReference r:id="rId5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Ref!$C$2:$C$4</definedName>
    <definedName name="WeaponType">#REF!</definedName>
  </definedNames>
  <calcPr calcId="181029"/>
</workbook>
</file>

<file path=xl/calcChain.xml><?xml version="1.0" encoding="utf-8"?>
<calcChain xmlns="http://schemas.openxmlformats.org/spreadsheetml/2006/main">
  <c r="M4" i="1" l="1"/>
  <c r="M5" i="1"/>
  <c r="M6" i="1"/>
  <c r="M7" i="1"/>
  <c r="M8" i="1"/>
  <c r="M9" i="1"/>
  <c r="M10" i="1"/>
  <c r="M11" i="1"/>
  <c r="M12" i="1"/>
  <c r="M3" i="1"/>
  <c r="M4" i="6"/>
  <c r="M5" i="6"/>
  <c r="M6" i="6"/>
  <c r="M7" i="6"/>
  <c r="M3" i="6"/>
  <c r="N3" i="6" l="1"/>
  <c r="L3" i="6"/>
  <c r="N7" i="6"/>
  <c r="L7" i="6"/>
  <c r="N6" i="6"/>
  <c r="L6" i="6"/>
  <c r="N5" i="6"/>
  <c r="L5" i="6"/>
  <c r="N4" i="6"/>
  <c r="L4" i="6"/>
  <c r="L4" i="1"/>
  <c r="L5" i="1"/>
  <c r="L6" i="1"/>
  <c r="L7" i="1"/>
  <c r="L8" i="1"/>
  <c r="L9" i="1"/>
  <c r="L10" i="1"/>
  <c r="L11" i="1"/>
  <c r="L12" i="1"/>
  <c r="L3" i="1"/>
  <c r="M19" i="1" l="1"/>
  <c r="M8" i="6"/>
  <c r="N8" i="6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<sst xmlns="http://schemas.openxmlformats.org/spreadsheetml/2006/main" count="390" uniqueCount="345">
  <si>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</si>
  <si>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</si>
  <si>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</si>
  <si>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</si>
  <si>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</si>
  <si>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</si>
  <si>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</si>
  <si>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</si>
  <si>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</si>
  <si>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</si>
  <si>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</si>
  <si>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</si>
  <si>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</si>
  <si>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</si>
  <si>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</si>
  <si>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</si>
  <si>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</si>
  <si>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</si>
  <si>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</si>
  <si>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</si>
  <si>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</si>
  <si>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</si>
  <si>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</si>
  <si>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</si>
  <si>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</si>
  <si>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</si>
  <si>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</si>
  <si>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</si>
  <si>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</si>
  <si>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</si>
  <si>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</si>
  <si>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</si>
  <si>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</si>
  <si>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</si>
  <si>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</si>
  <si>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</si>
  <si>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</si>
  <si>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</si>
  <si>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</si>
  <si>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</si>
  <si>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</si>
  <si>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</si>
  <si>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</si>
  <si>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</si>
  <si>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</si>
  <si>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吸血</t>
    <phoneticPr fontId="1" type="noConversion"/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</si>
  <si>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</si>
  <si>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</si>
  <si>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</si>
  <si>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</si>
  <si>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</si>
  <si>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</si>
  <si>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</si>
  <si>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</si>
  <si>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</si>
  <si>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</si>
  <si>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</si>
  <si>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</si>
  <si>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</si>
  <si>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</si>
  <si>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</si>
  <si>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</si>
  <si>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</si>
  <si>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</si>
  <si>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</si>
  <si>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</si>
  <si>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</si>
  <si>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</si>
  <si>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</si>
  <si>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</si>
  <si>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</si>
  <si>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</si>
  <si>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</si>
  <si>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</si>
  <si>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</si>
  <si>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</si>
  <si>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</si>
  <si>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</si>
  <si>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</si>
  <si>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</si>
  <si>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</si>
  <si>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</si>
  <si>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</si>
  <si>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</si>
  <si>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</si>
  <si>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</si>
  <si>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</si>
  <si>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</si>
  <si>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減少衝刺的CD時間</t>
    <phoneticPr fontId="3" type="noConversion"/>
  </si>
  <si>
    <t>一段時間沒有受到傷害可持續回血，受到傷害後取消</t>
    <phoneticPr fontId="3" type="noConversion"/>
  </si>
  <si>
    <t>刀子有機率附加隨機元素屬性</t>
    <phoneticPr fontId="3" type="noConversion"/>
  </si>
  <si>
    <t>護盾破碎時有機率放出暈眩衝擊波</t>
    <phoneticPr fontId="3" type="noConversion"/>
  </si>
  <si>
    <t>使用刀子殺死怪物機率掉落50%額外金錢</t>
    <phoneticPr fontId="3" type="noConversion"/>
  </si>
  <si>
    <t>RushCDResuce</t>
  </si>
  <si>
    <t>RushCDResuce</t>
    <phoneticPr fontId="1" type="noConversion"/>
  </si>
  <si>
    <t>ExtralGoldDrop</t>
    <phoneticPr fontId="1" type="noConversion"/>
  </si>
  <si>
    <t>NoDamageRecovery</t>
  </si>
  <si>
    <t>NoDamageRecovery</t>
    <phoneticPr fontId="1" type="noConversion"/>
  </si>
  <si>
    <t>ElementalAttack</t>
  </si>
  <si>
    <t>ElementalAttack</t>
    <phoneticPr fontId="1" type="noConversion"/>
  </si>
  <si>
    <t>ShockWave</t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</si>
  <si>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</si>
  <si>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</si>
  <si>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</si>
  <si>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</si>
  <si>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</si>
  <si>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</si>
  <si>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獎金獵人</t>
    <phoneticPr fontId="3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</si>
  <si>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</si>
  <si>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</si>
  <si>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</si>
  <si>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元素大師</t>
    <phoneticPr fontId="1" type="noConversion"/>
  </si>
  <si>
    <t>冰風暴</t>
    <phoneticPr fontId="1" type="noConversion"/>
  </si>
  <si>
    <t>BaseEmerald</t>
    <phoneticPr fontId="1" type="noConversion"/>
  </si>
  <si>
    <t>5秒沒受到傷害，持續回復{0}血量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</si>
  <si>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</si>
  <si>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</si>
  <si>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</si>
  <si>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</si>
  <si>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</si>
  <si>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</si>
  <si>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</si>
  <si>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</si>
  <si>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</si>
  <si>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</si>
  <si>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</si>
  <si>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</si>
  <si>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</si>
  <si>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</si>
  <si>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ExtralGoldDrop</t>
    <phoneticPr fontId="1" type="noConversion"/>
  </si>
  <si>
    <t>RushCDResuce</t>
    <phoneticPr fontId="1" type="noConversion"/>
  </si>
  <si>
    <t>NoDamageRecovery</t>
    <phoneticPr fontId="1" type="noConversion"/>
  </si>
  <si>
    <t>ElementalAttack</t>
    <phoneticPr fontId="1" type="noConversion"/>
  </si>
  <si>
    <t>ShockWave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</si>
  <si>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</si>
  <si>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</si>
  <si>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</si>
  <si>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</si>
  <si>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</si>
  <si>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</si>
  <si>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</si>
  <si>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</si>
  <si>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</si>
  <si>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</si>
  <si>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</si>
  <si>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</si>
  <si>
    <t>增加高品質裝備掉落運氣{0}</t>
    <phoneticPr fontId="1" type="noConversion"/>
  </si>
  <si>
    <t>燈塔</t>
    <phoneticPr fontId="1" type="noConversion"/>
  </si>
  <si>
    <t>格擋</t>
    <phoneticPr fontId="1" type="noConversion"/>
  </si>
  <si>
    <t>牧羊人</t>
    <phoneticPr fontId="1" type="noConversion"/>
  </si>
  <si>
    <t>僻毒</t>
    <phoneticPr fontId="1" type="noConversion"/>
  </si>
  <si>
    <t>禦寒</t>
    <phoneticPr fontId="1" type="noConversion"/>
  </si>
  <si>
    <t>火力全開</t>
    <phoneticPr fontId="1" type="noConversion"/>
  </si>
  <si>
    <t>堅毅</t>
    <phoneticPr fontId="1" type="noConversion"/>
  </si>
  <si>
    <t>重踏</t>
    <phoneticPr fontId="1" type="noConversion"/>
  </si>
  <si>
    <t>每20秒重踏地面造成傷害</t>
    <phoneticPr fontId="1" type="noConversion"/>
  </si>
  <si>
    <t>落雷</t>
    <phoneticPr fontId="1" type="noConversion"/>
  </si>
  <si>
    <t>每17秒對最近的1名目標打雷造成暈眩</t>
    <phoneticPr fontId="1" type="noConversion"/>
  </si>
  <si>
    <t>對最近目標施放追蹤電磁砲</t>
    <phoneticPr fontId="1" type="noConversion"/>
  </si>
  <si>
    <t>電磁砲</t>
    <phoneticPr fontId="1" type="noConversion"/>
  </si>
  <si>
    <t>刀子有{0}機率附帶隨機元素效果</t>
    <phoneticPr fontId="1" type="noConversion"/>
  </si>
  <si>
    <t>刀子有{0}機率附帶燃燒效果</t>
    <phoneticPr fontId="1" type="noConversion"/>
  </si>
  <si>
    <t>刀子有{0}機率附帶中毒效果</t>
    <phoneticPr fontId="1" type="noConversion"/>
  </si>
  <si>
    <t>刀子有{0}機率附帶冷凍效果</t>
    <phoneticPr fontId="1" type="noConversion"/>
  </si>
  <si>
    <t>每15秒向最近的敵方射出光束</t>
    <phoneticPr fontId="1" type="noConversion"/>
  </si>
  <si>
    <t>電光眼</t>
    <phoneticPr fontId="1" type="noConversion"/>
  </si>
  <si>
    <t>獲得裝備時朝最近敵方投出裝備</t>
    <phoneticPr fontId="1" type="noConversion"/>
  </si>
  <si>
    <t>裝備投擲</t>
    <phoneticPr fontId="1" type="noConversion"/>
  </si>
  <si>
    <t>凱旋</t>
    <phoneticPr fontId="1" type="noConversion"/>
  </si>
  <si>
    <t>走火入魔</t>
    <phoneticPr fontId="1" type="noConversion"/>
  </si>
  <si>
    <t>火球</t>
    <phoneticPr fontId="1" type="noConversion"/>
  </si>
  <si>
    <t>冰刨</t>
    <phoneticPr fontId="1" type="noConversion"/>
  </si>
  <si>
    <t>毒液</t>
    <phoneticPr fontId="1" type="noConversion"/>
  </si>
  <si>
    <t>每13秒向最近的敵方射出火球</t>
    <phoneticPr fontId="1" type="noConversion"/>
  </si>
  <si>
    <t>每13秒向最近的敵方射出冰刨</t>
    <phoneticPr fontId="1" type="noConversion"/>
  </si>
  <si>
    <t>每13秒向最近的敵方射出毒液</t>
    <phoneticPr fontId="1" type="noConversion"/>
  </si>
  <si>
    <t>骨刺</t>
    <phoneticPr fontId="1" type="noConversion"/>
  </si>
  <si>
    <t>每10秒向最近的敵方射出骨刺</t>
    <phoneticPr fontId="1" type="noConversion"/>
  </si>
  <si>
    <t>寒冰甲</t>
    <phoneticPr fontId="1" type="noConversion"/>
  </si>
  <si>
    <t>毒癮</t>
    <phoneticPr fontId="1" type="noConversion"/>
  </si>
  <si>
    <t>投擲巨石</t>
    <phoneticPr fontId="1" type="noConversion"/>
  </si>
  <si>
    <t>每15秒向最近的敵方射出巨石</t>
    <phoneticPr fontId="1" type="noConversion"/>
  </si>
  <si>
    <t>每20秒產生一道護罩持續3秒</t>
    <phoneticPr fontId="1" type="noConversion"/>
  </si>
  <si>
    <t>再生</t>
  </si>
  <si>
    <t>包紮</t>
    <phoneticPr fontId="3" type="noConversion"/>
  </si>
  <si>
    <t>吞食成長</t>
    <phoneticPr fontId="1" type="noConversion"/>
  </si>
  <si>
    <t>縮頭烏龜</t>
    <phoneticPr fontId="1" type="noConversion"/>
  </si>
  <si>
    <t>菁英爆破</t>
    <phoneticPr fontId="1" type="noConversion"/>
  </si>
  <si>
    <t>刀子有{0}機率暈眩敵人1.5秒</t>
    <phoneticPr fontId="1" type="noConversion"/>
  </si>
  <si>
    <t>巨力衝擊</t>
  </si>
  <si>
    <t>蒐集者</t>
  </si>
  <si>
    <t>喝下藥水後有{0}機率移動速度上升50</t>
    <phoneticPr fontId="1" type="noConversion"/>
  </si>
  <si>
    <t>護盾偏轉</t>
  </si>
  <si>
    <t>護盾存在時有{0}機率反彈子彈</t>
    <phoneticPr fontId="1" type="noConversion"/>
  </si>
  <si>
    <t>使用刀子殺死敵方怪物最大生命成長1%</t>
    <phoneticPr fontId="1" type="noConversion"/>
  </si>
  <si>
    <t>藥劑狂熱</t>
    <phoneticPr fontId="1" type="noConversion"/>
  </si>
  <si>
    <t>燃燒武器</t>
  </si>
  <si>
    <t>淬毒武器</t>
  </si>
  <si>
    <t>冷凍武器</t>
  </si>
  <si>
    <t>長手族</t>
  </si>
  <si>
    <t>衝擊斬</t>
  </si>
  <si>
    <t>質量守恆</t>
  </si>
  <si>
    <t>灼熱踐踏</t>
  </si>
  <si>
    <t>無堅不摧</t>
  </si>
  <si>
    <t>天搖地動</t>
  </si>
  <si>
    <t>慣性</t>
  </si>
  <si>
    <t>逆向衝擊</t>
  </si>
  <si>
    <t>藥劑師</t>
  </si>
  <si>
    <t>過敏體質</t>
  </si>
  <si>
    <t>耐火</t>
  </si>
  <si>
    <t>副作用</t>
  </si>
  <si>
    <t>煉金術</t>
  </si>
  <si>
    <t>飛濺針刺</t>
  </si>
  <si>
    <t>苟延殘喘</t>
  </si>
  <si>
    <t>突變</t>
  </si>
  <si>
    <t>效果</t>
    <phoneticPr fontId="1" type="noConversion"/>
  </si>
  <si>
    <t>升級</t>
    <phoneticPr fontId="1" type="noConversion"/>
  </si>
  <si>
    <t>10/15/20%機率</t>
    <phoneticPr fontId="1" type="noConversion"/>
  </si>
  <si>
    <t>5/10/15%距離</t>
    <phoneticPr fontId="1" type="noConversion"/>
  </si>
  <si>
    <t>1/2/3%生命上限</t>
    <phoneticPr fontId="1" type="noConversion"/>
  </si>
  <si>
    <t>5/10/15%機率</t>
    <phoneticPr fontId="1" type="noConversion"/>
  </si>
  <si>
    <t>逆境重生</t>
    <phoneticPr fontId="1" type="noConversion"/>
  </si>
  <si>
    <t>間次護盾</t>
    <phoneticPr fontId="1" type="noConversion"/>
  </si>
  <si>
    <t>護盾存在時被近戰攻擊時反彈受到傷害</t>
    <phoneticPr fontId="1" type="noConversion"/>
  </si>
  <si>
    <t>護盾存在時受到元素傷害有{0}機率不會受元素狀態影響</t>
    <phoneticPr fontId="1" type="noConversion"/>
  </si>
  <si>
    <t>50/75/100%機率</t>
    <phoneticPr fontId="1" type="noConversion"/>
  </si>
  <si>
    <t>10/20/30%受到傷害</t>
    <phoneticPr fontId="1" type="noConversion"/>
  </si>
  <si>
    <t>元素吸收</t>
    <phoneticPr fontId="1" type="noConversion"/>
  </si>
  <si>
    <t>受到元素負面效果(火/冰/毒)時增加護盾恢復量</t>
    <phoneticPr fontId="1" type="noConversion"/>
  </si>
  <si>
    <t>20/35/50%護盾恢復</t>
    <phoneticPr fontId="1" type="noConversion"/>
  </si>
  <si>
    <t>受到致命傷害時有機率不死且立即恢復50%護盾</t>
    <phoneticPr fontId="1" type="noConversion"/>
  </si>
  <si>
    <t>衝刺時有{0}機率回彈敵方子彈</t>
    <phoneticPr fontId="1" type="noConversion"/>
  </si>
  <si>
    <t>50/75/100%回彈機率</t>
    <phoneticPr fontId="1" type="noConversion"/>
  </si>
  <si>
    <t>自身血量低於{0}%時，減少衝刺CD0.5秒</t>
    <phoneticPr fontId="1" type="noConversion"/>
  </si>
  <si>
    <t>20/30/40%血量</t>
    <phoneticPr fontId="1" type="noConversion"/>
  </si>
  <si>
    <t>極限衝刺</t>
    <phoneticPr fontId="1" type="noConversion"/>
  </si>
  <si>
    <t>2/3/4秒</t>
    <phoneticPr fontId="1" type="noConversion"/>
  </si>
  <si>
    <t>衝刺時增加刀子攻擊傷害</t>
    <phoneticPr fontId="1" type="noConversion"/>
  </si>
  <si>
    <t>10/15/20%刀子傷害</t>
    <phoneticPr fontId="1" type="noConversion"/>
  </si>
  <si>
    <t>衝刺時使用刀子擊殺敵人可造成{0}米範圍暈眩衝擊波</t>
    <phoneticPr fontId="1" type="noConversion"/>
  </si>
  <si>
    <t>1/1.5/2米範圍</t>
    <phoneticPr fontId="1" type="noConversion"/>
  </si>
  <si>
    <t>衝刺後移動速度上升</t>
    <phoneticPr fontId="1" type="noConversion"/>
  </si>
  <si>
    <t>10/25/50速度</t>
    <phoneticPr fontId="1" type="noConversion"/>
  </si>
  <si>
    <t>增加藥水效果持續時間{0}秒</t>
    <phoneticPr fontId="1" type="noConversion"/>
  </si>
  <si>
    <t>0.5/1/2秒</t>
    <phoneticPr fontId="1" type="noConversion"/>
  </si>
  <si>
    <t>喝下藥水後在走過的路徑上留下可造成中毒的區域持續{0}秒</t>
    <phoneticPr fontId="1" type="noConversion"/>
  </si>
  <si>
    <t>10/20/30%機率</t>
    <phoneticPr fontId="1" type="noConversion"/>
  </si>
  <si>
    <t>50/75/100%刀子傷害</t>
    <phoneticPr fontId="1" type="noConversion"/>
  </si>
  <si>
    <t>130/160/200%無敵時間</t>
    <phoneticPr fontId="1" type="noConversion"/>
  </si>
  <si>
    <t>延長變回史萊姆時的無敵時間</t>
    <phoneticPr fontId="1" type="noConversion"/>
  </si>
  <si>
    <t>增加變回史萊姆時的移動速度(減少跳躍的CD)</t>
    <phoneticPr fontId="1" type="noConversion"/>
  </si>
  <si>
    <t>80/70/50%CD</t>
    <phoneticPr fontId="1" type="noConversion"/>
  </si>
  <si>
    <t>50/75/100%距離</t>
    <phoneticPr fontId="1" type="noConversion"/>
  </si>
  <si>
    <t>使用刀子殺死敵方怪物有機率獲得額外50%擊殺怪物掉落的金幣</t>
    <phoneticPr fontId="1" type="noConversion"/>
  </si>
  <si>
    <t>點石成金</t>
    <phoneticPr fontId="1" type="noConversion"/>
  </si>
  <si>
    <t>每多一隻怪物靈魂，增加{0}怪物靈魂掉落機率</t>
    <phoneticPr fontId="1" type="noConversion"/>
  </si>
  <si>
    <t>20/30/50%掉落機率</t>
    <phoneticPr fontId="1" type="noConversion"/>
  </si>
  <si>
    <t>0.1/0.2/0.3秒</t>
    <phoneticPr fontId="1" type="noConversion"/>
  </si>
  <si>
    <t>怪物技能攻擊週期減少{0}秒</t>
    <phoneticPr fontId="1" type="noConversion"/>
  </si>
  <si>
    <t>護盾破碎時有{0}機率放出冰凍衝擊波</t>
    <phoneticPr fontId="1" type="noConversion"/>
  </si>
  <si>
    <t>冰霜衝擊</t>
    <phoneticPr fontId="1" type="noConversion"/>
  </si>
  <si>
    <t>自動吸引靈魂，升級增加吸引距離</t>
    <phoneticPr fontId="1" type="noConversion"/>
  </si>
  <si>
    <t>使用史萊姆狀態衝撞城門有{0}機率獲得2倍寶石</t>
    <phoneticPr fontId="1" type="noConversion"/>
  </si>
  <si>
    <t>10/30/50%機率</t>
    <phoneticPr fontId="1" type="noConversion"/>
  </si>
  <si>
    <t>小兵立大功</t>
    <phoneticPr fontId="1" type="noConversion"/>
  </si>
  <si>
    <t>減少{0}%燃燒受到的傷害</t>
    <phoneticPr fontId="1" type="noConversion"/>
  </si>
  <si>
    <t>麻雀變鳳凰</t>
    <phoneticPr fontId="1" type="noConversion"/>
  </si>
  <si>
    <t>使用史萊姆狀態衝撞城門有{0}機率重變為英雄</t>
    <phoneticPr fontId="1" type="noConversion"/>
  </si>
  <si>
    <t>2/3/5秒</t>
    <phoneticPr fontId="1" type="noConversion"/>
  </si>
  <si>
    <t>10/20/30%燃燒傷害減免</t>
    <phoneticPr fontId="1" type="noConversion"/>
  </si>
  <si>
    <t>冰凍時減少{0}%移動速度降低量</t>
    <phoneticPr fontId="1" type="noConversion"/>
  </si>
  <si>
    <t>10/20/30%緩速減免</t>
    <phoneticPr fontId="1" type="noConversion"/>
  </si>
  <si>
    <t>冰凍時受到傷害降低{0}%</t>
    <phoneticPr fontId="1" type="noConversion"/>
  </si>
  <si>
    <t>5/10/20%傷害減免</t>
    <phoneticPr fontId="1" type="noConversion"/>
  </si>
  <si>
    <t>中毒時減少{0}%降低的傷害量</t>
    <phoneticPr fontId="1" type="noConversion"/>
  </si>
  <si>
    <t>10/20/30%衰弱減免</t>
    <phoneticPr fontId="1" type="noConversion"/>
  </si>
  <si>
    <t>燃燒狀態時增加{0}%刀子傷害</t>
    <phoneticPr fontId="1" type="noConversion"/>
  </si>
  <si>
    <t>10/20/30%刀子傷害</t>
    <phoneticPr fontId="1" type="noConversion"/>
  </si>
  <si>
    <t>同時遭受兩種負面效果時，有{0}機率移除全部負面效果</t>
    <phoneticPr fontId="1" type="noConversion"/>
  </si>
  <si>
    <t>以毒攻毒</t>
    <phoneticPr fontId="1" type="noConversion"/>
  </si>
  <si>
    <t>中毒時移動速度上升{0}%</t>
    <phoneticPr fontId="1" type="noConversion"/>
  </si>
  <si>
    <t>10/20/30%移動速度</t>
    <phoneticPr fontId="1" type="noConversion"/>
  </si>
  <si>
    <t>元素過載</t>
    <phoneticPr fontId="1" type="noConversion"/>
  </si>
  <si>
    <t>20/30/60%機率</t>
    <phoneticPr fontId="1" type="noConversion"/>
  </si>
  <si>
    <t>尋寶專家</t>
    <phoneticPr fontId="1" type="noConversion"/>
  </si>
  <si>
    <t>每撞破一個城門增加{0}%掉落金錢</t>
    <phoneticPr fontId="1" type="noConversion"/>
  </si>
  <si>
    <t>5/10/15%掉落金錢</t>
    <phoneticPr fontId="1" type="noConversion"/>
  </si>
  <si>
    <t>每擊殺一隻BOSS增加{0}%掉落寶石</t>
    <phoneticPr fontId="1" type="noConversion"/>
  </si>
  <si>
    <t>5/10/15%掉落寶石</t>
    <phoneticPr fontId="1" type="noConversion"/>
  </si>
  <si>
    <t>規則破壞者</t>
    <phoneticPr fontId="1" type="noConversion"/>
  </si>
  <si>
    <t>60/50/40%生命上限</t>
    <phoneticPr fontId="1" type="noConversion"/>
  </si>
  <si>
    <t>當護盾破碎時，受到超過{0}%生命上限的攻擊時，只會受到40%傷害</t>
    <phoneticPr fontId="1" type="noConversion"/>
  </si>
  <si>
    <t>連續對同樣目標進行3次攻擊後，第3下攻擊造成造成額外{0}傷害</t>
    <phoneticPr fontId="1" type="noConversion"/>
  </si>
  <si>
    <t>50/75/100%傷害</t>
    <phoneticPr fontId="1" type="noConversion"/>
  </si>
  <si>
    <t>來自移動反方向的傷害降低{0}%</t>
    <phoneticPr fontId="1" type="noConversion"/>
  </si>
  <si>
    <t>10/20/30%傷害降低</t>
    <phoneticPr fontId="1" type="noConversion"/>
  </si>
  <si>
    <t>怒火沖天</t>
    <phoneticPr fontId="1" type="noConversion"/>
  </si>
  <si>
    <t>連續{0}秒內受到3次攻擊後自身爆破造成周圍敵人燃燒</t>
    <phoneticPr fontId="1" type="noConversion"/>
  </si>
  <si>
    <t>視野增加{0}%</t>
    <phoneticPr fontId="1" type="noConversion"/>
  </si>
  <si>
    <t>10/20/30%距離</t>
    <phoneticPr fontId="1" type="noConversion"/>
  </si>
  <si>
    <t>暈眩時受到傷害降低{0}%</t>
    <phoneticPr fontId="1" type="noConversion"/>
  </si>
  <si>
    <t>20/40/60%傷害減免</t>
    <phoneticPr fontId="1" type="noConversion"/>
  </si>
  <si>
    <t>弒王者</t>
    <phoneticPr fontId="1" type="noConversion"/>
  </si>
  <si>
    <t>使用刀子擊殺燃燒的怪物有{0}機率產生中範圍的火焰爆炸，使敵人燃燒</t>
    <phoneticPr fontId="1" type="noConversion"/>
  </si>
  <si>
    <t>使用刀子擊殺中毒的怪物有{0}機率產生中範圍的毒氣爆炸，使敵人中毒</t>
    <phoneticPr fontId="1" type="noConversion"/>
  </si>
  <si>
    <t>使用刀子擊殺冰凍的怪物有{0}機率產生中範圍的冰霜爆炸，使敵人冰凍</t>
    <phoneticPr fontId="1" type="noConversion"/>
  </si>
  <si>
    <t>冰霜斬擊</t>
    <phoneticPr fontId="1" type="noConversion"/>
  </si>
  <si>
    <t>劇毒斬擊</t>
    <phoneticPr fontId="1" type="noConversion"/>
  </si>
  <si>
    <t>火焰斬擊</t>
    <phoneticPr fontId="1" type="noConversion"/>
  </si>
  <si>
    <t>每多一隻怪物靈魂，減少{0}%子彈傷害</t>
    <phoneticPr fontId="1" type="noConversion"/>
  </si>
  <si>
    <t>5/7/10%傷害減免</t>
    <phoneticPr fontId="1" type="noConversion"/>
  </si>
  <si>
    <t>收割者</t>
    <phoneticPr fontId="1" type="noConversion"/>
  </si>
  <si>
    <t>燃燒狀態時衝刺後地上留下可造成燃燒的區域持續{0}秒</t>
    <phoneticPr fontId="1" type="noConversion"/>
  </si>
  <si>
    <t>冰凍狀態時衝刺後地上留下可造成冰凍的區域持續{0}秒</t>
    <phoneticPr fontId="1" type="noConversion"/>
  </si>
  <si>
    <t>中毒狀態時衝刺後地上留下可造成中毒的區域持續{0}秒</t>
    <phoneticPr fontId="1" type="noConversion"/>
  </si>
  <si>
    <t>冰牆</t>
    <phoneticPr fontId="1" type="noConversion"/>
  </si>
  <si>
    <t>帶原者</t>
    <phoneticPr fontId="1" type="noConversion"/>
  </si>
  <si>
    <t>狂戰士</t>
    <phoneticPr fontId="1" type="noConversion"/>
  </si>
  <si>
    <t>血量低於40%時，使用刀子攻擊有{0}機率造成1.5倍傷害</t>
    <phoneticPr fontId="1" type="noConversion"/>
  </si>
  <si>
    <t>每10秒恢復{0}%血量</t>
    <phoneticPr fontId="1" type="noConversion"/>
  </si>
  <si>
    <t>2/5/10%血量</t>
    <phoneticPr fontId="1" type="noConversion"/>
  </si>
  <si>
    <t>擊殺BOSS獲得額外{0}秒變身時間</t>
    <phoneticPr fontId="1" type="noConversion"/>
  </si>
  <si>
    <t>5/10/15秒</t>
    <phoneticPr fontId="1" type="noConversion"/>
  </si>
  <si>
    <t>不屈勇者</t>
    <phoneticPr fontId="1" type="noConversion"/>
  </si>
  <si>
    <t>同時遭受兩種負面效果時，有{0}機率產生範圍爆炸，傷害等同50%刀子傷害</t>
    <phoneticPr fontId="1" type="noConversion"/>
  </si>
  <si>
    <t>冰火</t>
    <phoneticPr fontId="1" type="noConversion"/>
  </si>
  <si>
    <t>毒火</t>
    <phoneticPr fontId="1" type="noConversion"/>
  </si>
  <si>
    <t>冰毒</t>
    <phoneticPr fontId="1" type="noConversion"/>
  </si>
  <si>
    <t>爆炸</t>
    <phoneticPr fontId="1" type="noConversion"/>
  </si>
  <si>
    <t>暈眩</t>
    <phoneticPr fontId="1" type="noConversion"/>
  </si>
  <si>
    <t>擊暈</t>
    <phoneticPr fontId="1" type="noConversion"/>
  </si>
  <si>
    <t>使用勇者狀態衝撞城門後獲得額外{0}秒變身時間</t>
    <phoneticPr fontId="1" type="noConversion"/>
  </si>
  <si>
    <t>解除勇者狀態時向四周發射飛針，造成等同{0}%刀子傷害</t>
    <phoneticPr fontId="1" type="noConversion"/>
  </si>
  <si>
    <t>喝藥水時有{0}機率解除任意一個元素負面狀態</t>
    <phoneticPr fontId="1" type="noConversion"/>
  </si>
  <si>
    <t>獲得藥水時有{0}機率獲得額外50%擊殺怪物掉落的金幣</t>
    <phoneticPr fontId="1" type="noConversion"/>
  </si>
  <si>
    <t>增加{0}%自動吸引藥水距離</t>
    <phoneticPr fontId="1" type="noConversion"/>
  </si>
  <si>
    <t>刀子攻擊距離增加{0}%</t>
    <phoneticPr fontId="1" type="noConversion"/>
  </si>
  <si>
    <t>刀子攻擊有{0}%機率朝前方發出額外斬擊</t>
    <phoneticPr fontId="1" type="noConversion"/>
  </si>
  <si>
    <t>每多一隻怪物靈魂，減少{0}%近戰傷害</t>
    <phoneticPr fontId="1" type="noConversion"/>
  </si>
  <si>
    <t>幽魂折射</t>
    <phoneticPr fontId="1" type="noConversion"/>
  </si>
  <si>
    <t>靈魂護甲</t>
    <phoneticPr fontId="1" type="noConversion"/>
  </si>
  <si>
    <t>心血結晶</t>
    <phoneticPr fontId="1" type="noConversion"/>
  </si>
  <si>
    <t>血量全滿時喝下回血藥水，獲得等同{0}%回復量的金錢</t>
    <phoneticPr fontId="1" type="noConversion"/>
  </si>
  <si>
    <t>30/60/100%回復量</t>
    <phoneticPr fontId="1" type="noConversion"/>
  </si>
  <si>
    <t>2040/60%機率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</si>
</sst>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scheme val="minor"/>
    </font>
    <font>
      <sz val="12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  <xf numFmtId="0" fontId="4" fillId="0" borderId="0" xfId="0" applyFont="1" applyAlignment="1">
      <alignment vertical="center"/>
    </xf>
    <xf numFmtId="0" fontId="5" fillId="0" borderId="0" xfId="0" applyFont="1"/>
    <xf numFmtId="0" fontId="6" fillId="0" borderId="0" xfId="0" applyFont="1" applyAlignment="1">
      <alignment vertical="center"/>
    </xf>
    <xf numFmtId="14" fontId="0" fillId="0" borderId="0" xfId="0" applyNumberFormat="1"/>
    <xf numFmtId="0" fontId="7" fillId="0" borderId="0" xfId="0" applyFont="1" applyAlignment="1">
      <alignment vertical="center"/>
    </xf>
    <xf numFmtId="0" fontId="7" fillId="0" borderId="0" xfId="0" applyFont="1"/>
    <xf numFmtId="0" fontId="8" fillId="0" borderId="0" xfId="0" applyFo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19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10" sqref="C10"/>
    </sheetView>
  </sheetViews>
  <sheetFormatPr defaultRowHeight="16.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117</v>
      </c>
      <c r="K1" s="8" t="s">
        <v>24</v>
      </c>
    </row>
    <row r="2" spans="1:13" s="7" customFormat="1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116</v>
      </c>
      <c r="K2" s="8" t="s">
        <v>15</v>
      </c>
      <c r="L2" s="7" t="s">
        <v>142</v>
      </c>
      <c r="M2" s="7" t="s">
        <v>143</v>
      </c>
    </row>
    <row r="3" spans="1:13">
      <c r="A3">
        <v>1</v>
      </c>
      <c r="B3" t="s">
        <v>139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70</v>
      </c>
      <c r="L3">
        <f>E3+F3*(J3-1)</f>
        <v>300</v>
      </c>
      <c r="M3">
        <f>H3+(H3+I3*(J3-1))*J3/2</f>
        <v>63850</v>
      </c>
    </row>
    <row r="4" spans="1:13">
      <c r="A4">
        <v>2</v>
      </c>
      <c r="B4" t="s">
        <v>140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69</v>
      </c>
      <c r="L4">
        <f t="shared" ref="L4:L12" si="1">E4+F4*(J4-1)</f>
        <v>500</v>
      </c>
      <c r="M4">
        <f t="shared" ref="M4:M12" si="2">H4+(H4+I4*(J4-1))*J4/2</f>
        <v>63850</v>
      </c>
    </row>
    <row r="5" spans="1:13">
      <c r="A5">
        <v>3</v>
      </c>
      <c r="B5" t="s">
        <v>138</v>
      </c>
      <c r="C5" s="2" t="s">
        <v>119</v>
      </c>
      <c r="D5" s="2" t="s">
        <v>118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71</v>
      </c>
      <c r="L5">
        <f t="shared" si="1"/>
        <v>5</v>
      </c>
      <c r="M5">
        <f t="shared" si="2"/>
        <v>63850</v>
      </c>
    </row>
    <row r="6" spans="1:13">
      <c r="A6">
        <v>4</v>
      </c>
      <c r="B6" t="s">
        <v>10</v>
      </c>
      <c r="C6" s="2" t="s">
        <v>122</v>
      </c>
      <c r="D6" s="2" t="s">
        <v>77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72</v>
      </c>
      <c r="L6">
        <f t="shared" si="1"/>
        <v>30</v>
      </c>
      <c r="M6">
        <f t="shared" si="2"/>
        <v>63850</v>
      </c>
    </row>
    <row r="7" spans="1:13">
      <c r="A7">
        <v>5</v>
      </c>
      <c r="B7" t="s">
        <v>82</v>
      </c>
      <c r="C7" s="2" t="s">
        <v>121</v>
      </c>
      <c r="D7" s="2" t="s">
        <v>120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85</v>
      </c>
      <c r="L7">
        <f t="shared" si="1"/>
        <v>5</v>
      </c>
      <c r="M7">
        <f t="shared" si="2"/>
        <v>63850</v>
      </c>
    </row>
    <row r="8" spans="1:13">
      <c r="A8">
        <v>6</v>
      </c>
      <c r="B8" t="s">
        <v>136</v>
      </c>
      <c r="C8" s="2" t="s">
        <v>137</v>
      </c>
      <c r="D8" s="2" t="s">
        <v>78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84</v>
      </c>
      <c r="L8">
        <f t="shared" si="1"/>
        <v>15</v>
      </c>
      <c r="M8">
        <f t="shared" si="2"/>
        <v>63850</v>
      </c>
    </row>
    <row r="9" spans="1:13">
      <c r="A9">
        <v>7</v>
      </c>
      <c r="B9" t="s">
        <v>135</v>
      </c>
      <c r="C9" s="2" t="s">
        <v>123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73</v>
      </c>
      <c r="L9">
        <f t="shared" si="1"/>
        <v>0.3</v>
      </c>
      <c r="M9">
        <f t="shared" si="2"/>
        <v>37200</v>
      </c>
    </row>
    <row r="10" spans="1:13">
      <c r="A10">
        <v>8</v>
      </c>
      <c r="B10" t="s">
        <v>134</v>
      </c>
      <c r="C10" s="2" t="s">
        <v>146</v>
      </c>
      <c r="D10" s="2" t="s">
        <v>124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75</v>
      </c>
      <c r="L10">
        <f t="shared" si="1"/>
        <v>50</v>
      </c>
      <c r="M10">
        <f t="shared" si="2"/>
        <v>63850</v>
      </c>
    </row>
    <row r="11" spans="1:13">
      <c r="A11">
        <v>9</v>
      </c>
      <c r="B11" t="s">
        <v>126</v>
      </c>
      <c r="C11" s="2" t="s">
        <v>141</v>
      </c>
      <c r="D11" s="2" t="s">
        <v>125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74</v>
      </c>
      <c r="L11">
        <f t="shared" si="1"/>
        <v>30</v>
      </c>
      <c r="M11">
        <f t="shared" si="2"/>
        <v>46700</v>
      </c>
    </row>
    <row r="12" spans="1:13">
      <c r="A12">
        <v>10</v>
      </c>
      <c r="B12" t="s">
        <v>83</v>
      </c>
      <c r="C12" s="2" t="s">
        <v>127</v>
      </c>
      <c r="D12" s="2" t="s">
        <v>128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76</v>
      </c>
      <c r="L12">
        <f t="shared" si="1"/>
        <v>0.2</v>
      </c>
      <c r="M12">
        <f t="shared" si="2"/>
        <v>21200</v>
      </c>
    </row>
    <row r="13" spans="1:13" s="5" customFormat="1">
      <c r="B13" s="5" t="s">
        <v>48</v>
      </c>
      <c r="C13" s="6" t="str">
        <f t="shared" ref="C13:C18" si="3">"增加"&amp;B13&amp;"{0}"</f>
        <v>增加力量{0}</v>
      </c>
      <c r="D13" s="6" t="s">
        <v>63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56</v>
      </c>
    </row>
    <row r="14" spans="1:13" s="5" customFormat="1">
      <c r="B14" s="5" t="s">
        <v>50</v>
      </c>
      <c r="C14" s="6" t="str">
        <f t="shared" si="3"/>
        <v>增加生命{0}</v>
      </c>
      <c r="D14" s="6" t="s">
        <v>64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57</v>
      </c>
    </row>
    <row r="15" spans="1:13" s="5" customFormat="1">
      <c r="B15" s="5" t="s">
        <v>54</v>
      </c>
      <c r="C15" s="6" t="str">
        <f t="shared" si="3"/>
        <v>增加護盾{0}</v>
      </c>
      <c r="D15" s="6" t="s">
        <v>65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58</v>
      </c>
    </row>
    <row r="16" spans="1:13" s="5" customFormat="1">
      <c r="B16" s="5" t="s">
        <v>52</v>
      </c>
      <c r="C16" s="6" t="str">
        <f t="shared" si="3"/>
        <v>增加護盾回復{0}</v>
      </c>
      <c r="D16" s="6" t="s">
        <v>66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59</v>
      </c>
    </row>
    <row r="17" spans="1:13" s="5" customFormat="1">
      <c r="B17" s="5" t="s">
        <v>44</v>
      </c>
      <c r="C17" s="6" t="str">
        <f t="shared" si="3"/>
        <v>增加吸血{0}</v>
      </c>
      <c r="D17" s="6" t="s">
        <v>67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60</v>
      </c>
    </row>
    <row r="18" spans="1:13" s="5" customFormat="1">
      <c r="B18" s="5" t="s">
        <v>46</v>
      </c>
      <c r="C18" s="6" t="str">
        <f t="shared" si="3"/>
        <v>增加藥水效果{0}</v>
      </c>
      <c r="D18" s="6" t="s">
        <v>68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61</v>
      </c>
    </row>
    <row r="19" spans="1:13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N9"/>
  <sheetViews>
    <sheetView zoomScale="85" zoomScaleNormal="85" workbookViewId="0">
      <selection activeCell="B10" sqref="B10:I60"/>
    </sheetView>
  </sheetViews>
  <sheetFormatPr defaultRowHeight="16.5"/>
  <cols>
    <col min="1" max="1" width="9" customWidth="1"/>
    <col min="2" max="2" width="17.625" customWidth="1"/>
    <col min="3" max="3" width="27.25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customWidth="1"/>
    <col min="9" max="10" width="14" customWidth="1"/>
    <col min="11" max="11" width="14.125" customWidth="1"/>
    <col min="13" max="13" width="11.375" customWidth="1"/>
  </cols>
  <sheetData>
    <row r="1" spans="1:14" s="7" customFormat="1">
      <c r="A1" s="7" t="s">
        <v>0</v>
      </c>
      <c r="B1" s="7" t="s">
        <v>8</v>
      </c>
      <c r="C1" s="8" t="s">
        <v>9</v>
      </c>
      <c r="D1" s="8" t="s">
        <v>103</v>
      </c>
      <c r="E1" s="8" t="s">
        <v>20</v>
      </c>
      <c r="F1" s="8" t="s">
        <v>21</v>
      </c>
      <c r="G1" s="8" t="s">
        <v>30</v>
      </c>
      <c r="H1" s="8" t="s">
        <v>113</v>
      </c>
      <c r="I1" s="8" t="s">
        <v>106</v>
      </c>
      <c r="J1" s="8" t="s">
        <v>117</v>
      </c>
      <c r="K1" s="8" t="s">
        <v>24</v>
      </c>
    </row>
    <row r="2" spans="1:14" s="7" customFormat="1">
      <c r="A2" s="7" t="s">
        <v>1</v>
      </c>
      <c r="B2" s="7" t="s">
        <v>2</v>
      </c>
      <c r="C2" s="8" t="s">
        <v>3</v>
      </c>
      <c r="D2" s="8" t="s">
        <v>102</v>
      </c>
      <c r="E2" s="8" t="s">
        <v>22</v>
      </c>
      <c r="F2" s="8" t="s">
        <v>23</v>
      </c>
      <c r="G2" s="8" t="s">
        <v>29</v>
      </c>
      <c r="H2" s="8" t="s">
        <v>104</v>
      </c>
      <c r="I2" s="8" t="s">
        <v>105</v>
      </c>
      <c r="J2" s="8" t="s">
        <v>116</v>
      </c>
      <c r="K2" s="8" t="s">
        <v>15</v>
      </c>
      <c r="L2" s="7" t="s">
        <v>142</v>
      </c>
      <c r="M2" s="7" t="s">
        <v>145</v>
      </c>
      <c r="N2" s="7" t="s">
        <v>144</v>
      </c>
    </row>
    <row r="3" spans="1:14">
      <c r="A3">
        <v>1</v>
      </c>
      <c r="B3" s="4" t="s">
        <v>107</v>
      </c>
      <c r="C3" s="2" t="s">
        <v>110</v>
      </c>
      <c r="D3" t="s">
        <v>95</v>
      </c>
      <c r="E3">
        <v>0.1</v>
      </c>
      <c r="F3">
        <v>0.1</v>
      </c>
      <c r="G3" t="b">
        <v>1</v>
      </c>
      <c r="H3">
        <v>10</v>
      </c>
      <c r="I3">
        <v>5</v>
      </c>
      <c r="J3">
        <v>5</v>
      </c>
      <c r="K3" t="s">
        <v>129</v>
      </c>
      <c r="L3">
        <f>E3+F3*(J3-1)</f>
        <v>0.5</v>
      </c>
      <c r="M3">
        <f>(H3+(H3+I3*(J3-1)))*J3/2</f>
        <v>100</v>
      </c>
      <c r="N3">
        <f>M3/10</f>
        <v>10</v>
      </c>
    </row>
    <row r="4" spans="1:14">
      <c r="A4">
        <v>2</v>
      </c>
      <c r="B4" t="s">
        <v>115</v>
      </c>
      <c r="C4" s="2" t="s">
        <v>109</v>
      </c>
      <c r="D4" t="s">
        <v>130</v>
      </c>
      <c r="E4">
        <v>0.4</v>
      </c>
      <c r="F4">
        <v>0.4</v>
      </c>
      <c r="H4">
        <v>10</v>
      </c>
      <c r="I4">
        <v>5</v>
      </c>
      <c r="J4">
        <v>5</v>
      </c>
      <c r="K4" t="s">
        <v>93</v>
      </c>
      <c r="L4">
        <f>E4+F4*(J4-1)</f>
        <v>2</v>
      </c>
      <c r="M4">
        <f>(H4+(H4+I4*(J4-1)))*J4/2</f>
        <v>100</v>
      </c>
      <c r="N4">
        <f t="shared" ref="N4:N7" si="0">M4/10</f>
        <v>10</v>
      </c>
    </row>
    <row r="5" spans="1:14">
      <c r="A5">
        <v>3</v>
      </c>
      <c r="B5" s="4" t="s">
        <v>184</v>
      </c>
      <c r="C5" t="s">
        <v>114</v>
      </c>
      <c r="D5" t="s">
        <v>131</v>
      </c>
      <c r="E5">
        <v>0.03</v>
      </c>
      <c r="F5">
        <v>0.03</v>
      </c>
      <c r="G5" t="b">
        <v>1</v>
      </c>
      <c r="H5">
        <v>10</v>
      </c>
      <c r="I5">
        <v>5</v>
      </c>
      <c r="J5">
        <v>5</v>
      </c>
      <c r="K5" t="s">
        <v>96</v>
      </c>
      <c r="L5">
        <f>E5+F5*(J5-1)</f>
        <v>0.15</v>
      </c>
      <c r="M5">
        <f>(H5+(H5+I5*(J5-1)))*J5/2</f>
        <v>100</v>
      </c>
      <c r="N5">
        <f t="shared" si="0"/>
        <v>10</v>
      </c>
    </row>
    <row r="6" spans="1:14">
      <c r="A6">
        <v>4</v>
      </c>
      <c r="B6" s="4" t="s">
        <v>111</v>
      </c>
      <c r="C6" t="s">
        <v>160</v>
      </c>
      <c r="D6" t="s">
        <v>132</v>
      </c>
      <c r="E6">
        <v>0.25</v>
      </c>
      <c r="F6">
        <v>0.1</v>
      </c>
      <c r="G6" t="b">
        <v>1</v>
      </c>
      <c r="H6">
        <v>15</v>
      </c>
      <c r="I6">
        <v>7</v>
      </c>
      <c r="J6">
        <v>5</v>
      </c>
      <c r="K6" t="s">
        <v>98</v>
      </c>
      <c r="L6">
        <f>E6+F6*(J6-1)</f>
        <v>0.65</v>
      </c>
      <c r="M6">
        <f>(H6+(H6+I6*(J6-1)))*J6/2</f>
        <v>145</v>
      </c>
      <c r="N6">
        <f t="shared" si="0"/>
        <v>14.5</v>
      </c>
    </row>
    <row r="7" spans="1:14">
      <c r="A7">
        <v>5</v>
      </c>
      <c r="B7" s="4" t="s">
        <v>112</v>
      </c>
      <c r="C7" s="4" t="s">
        <v>108</v>
      </c>
      <c r="D7" t="s">
        <v>133</v>
      </c>
      <c r="E7">
        <v>4</v>
      </c>
      <c r="F7">
        <v>2</v>
      </c>
      <c r="H7">
        <v>15</v>
      </c>
      <c r="I7">
        <v>7</v>
      </c>
      <c r="J7">
        <v>5</v>
      </c>
      <c r="K7" t="s">
        <v>100</v>
      </c>
      <c r="L7">
        <f>E7+F7*(J7-1)</f>
        <v>12</v>
      </c>
      <c r="M7">
        <f>(H7+(H7+I7*(J7-1)))*J7/2</f>
        <v>145</v>
      </c>
      <c r="N7">
        <f t="shared" si="0"/>
        <v>14.5</v>
      </c>
    </row>
    <row r="8" spans="1:14">
      <c r="A8" t="s">
        <v>4</v>
      </c>
      <c r="M8">
        <f>SUM(M3:M7)</f>
        <v>590</v>
      </c>
      <c r="N8">
        <f>SUM(N3:N7)</f>
        <v>59</v>
      </c>
    </row>
    <row r="9" spans="1:14">
      <c r="B9" s="9"/>
    </row>
  </sheetData>
  <phoneticPr fontId="1" type="noConversion"/>
  <dataValidations count="1">
    <dataValidation type="list" allowBlank="1" showInputMessage="1" showErrorMessage="1" sqref="G1:G9 G61:G1048576" xr:uid="{00000000-0002-0000-01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Ref!$C$2:$C$6</xm:f>
          </x14:formula1>
          <xm:sqref>D61:D1048576 D1:D9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050F0-12B7-4116-9602-27678474DE7E}">
  <dimension ref="H1:O84"/>
  <sheetViews>
    <sheetView tabSelected="1" workbookViewId="0">
      <selection activeCell="K10" sqref="K10"/>
    </sheetView>
  </sheetViews>
  <sheetFormatPr defaultRowHeight="16.5"/>
  <cols>
    <col min="8" max="8" width="11.625" bestFit="1" customWidth="1"/>
    <col min="9" max="9" width="70.125" bestFit="1" customWidth="1"/>
    <col min="10" max="10" width="19.75" customWidth="1"/>
  </cols>
  <sheetData>
    <row r="1" spans="8:10">
      <c r="H1" t="s">
        <v>2</v>
      </c>
      <c r="I1" t="s">
        <v>215</v>
      </c>
      <c r="J1" t="s">
        <v>216</v>
      </c>
    </row>
    <row r="2" spans="8:10">
      <c r="H2" t="s">
        <v>196</v>
      </c>
      <c r="I2" t="s">
        <v>161</v>
      </c>
      <c r="J2" t="s">
        <v>217</v>
      </c>
    </row>
    <row r="3" spans="8:10">
      <c r="H3" t="s">
        <v>197</v>
      </c>
      <c r="I3" t="s">
        <v>162</v>
      </c>
      <c r="J3" t="s">
        <v>217</v>
      </c>
    </row>
    <row r="4" spans="8:10">
      <c r="H4" t="s">
        <v>198</v>
      </c>
      <c r="I4" t="s">
        <v>163</v>
      </c>
      <c r="J4" t="s">
        <v>217</v>
      </c>
    </row>
    <row r="5" spans="8:10">
      <c r="H5" t="s">
        <v>189</v>
      </c>
      <c r="I5" t="s">
        <v>188</v>
      </c>
      <c r="J5" t="s">
        <v>217</v>
      </c>
    </row>
    <row r="6" spans="8:10">
      <c r="H6" t="s">
        <v>199</v>
      </c>
      <c r="I6" s="4" t="s">
        <v>336</v>
      </c>
      <c r="J6" t="s">
        <v>218</v>
      </c>
    </row>
    <row r="7" spans="8:10">
      <c r="H7" t="s">
        <v>200</v>
      </c>
      <c r="I7" t="s">
        <v>337</v>
      </c>
      <c r="J7" t="s">
        <v>217</v>
      </c>
    </row>
    <row r="8" spans="8:10">
      <c r="H8" t="s">
        <v>185</v>
      </c>
      <c r="I8" t="s">
        <v>194</v>
      </c>
      <c r="J8" t="s">
        <v>219</v>
      </c>
    </row>
    <row r="9" spans="8:10">
      <c r="H9" t="s">
        <v>254</v>
      </c>
      <c r="I9" t="s">
        <v>253</v>
      </c>
      <c r="J9" t="s">
        <v>246</v>
      </c>
    </row>
    <row r="10" spans="8:10">
      <c r="H10" t="s">
        <v>308</v>
      </c>
      <c r="I10" t="s">
        <v>303</v>
      </c>
      <c r="J10" t="s">
        <v>225</v>
      </c>
    </row>
    <row r="11" spans="8:10">
      <c r="H11" t="s">
        <v>307</v>
      </c>
      <c r="I11" t="s">
        <v>304</v>
      </c>
      <c r="J11" t="s">
        <v>225</v>
      </c>
    </row>
    <row r="12" spans="8:10">
      <c r="H12" t="s">
        <v>306</v>
      </c>
      <c r="I12" t="s">
        <v>305</v>
      </c>
      <c r="J12" t="s">
        <v>225</v>
      </c>
    </row>
    <row r="13" spans="8:10">
      <c r="H13" t="s">
        <v>317</v>
      </c>
      <c r="I13" t="s">
        <v>318</v>
      </c>
      <c r="J13" t="s">
        <v>344</v>
      </c>
    </row>
    <row r="15" spans="8:10">
      <c r="H15" t="s">
        <v>192</v>
      </c>
      <c r="I15" t="s">
        <v>193</v>
      </c>
      <c r="J15" t="s">
        <v>220</v>
      </c>
    </row>
    <row r="16" spans="8:10">
      <c r="H16" t="s">
        <v>221</v>
      </c>
      <c r="I16" t="s">
        <v>230</v>
      </c>
      <c r="J16" t="s">
        <v>220</v>
      </c>
    </row>
    <row r="17" spans="8:13">
      <c r="H17" t="s">
        <v>201</v>
      </c>
      <c r="I17" t="s">
        <v>224</v>
      </c>
      <c r="J17" t="s">
        <v>225</v>
      </c>
    </row>
    <row r="18" spans="8:13">
      <c r="H18" t="s">
        <v>222</v>
      </c>
      <c r="I18" s="4" t="s">
        <v>223</v>
      </c>
      <c r="J18" t="s">
        <v>226</v>
      </c>
      <c r="M18" s="11"/>
    </row>
    <row r="19" spans="8:13">
      <c r="H19" t="s">
        <v>227</v>
      </c>
      <c r="I19" s="13" t="s">
        <v>228</v>
      </c>
      <c r="J19" s="12" t="s">
        <v>229</v>
      </c>
      <c r="M19" s="10"/>
    </row>
    <row r="20" spans="8:13">
      <c r="H20" t="s">
        <v>260</v>
      </c>
      <c r="I20" t="s">
        <v>259</v>
      </c>
      <c r="J20" t="s">
        <v>225</v>
      </c>
    </row>
    <row r="22" spans="8:13">
      <c r="H22" t="s">
        <v>203</v>
      </c>
      <c r="I22" s="4" t="s">
        <v>237</v>
      </c>
      <c r="J22" t="s">
        <v>238</v>
      </c>
    </row>
    <row r="23" spans="8:13">
      <c r="H23" t="s">
        <v>204</v>
      </c>
      <c r="I23" t="s">
        <v>239</v>
      </c>
      <c r="J23" t="s">
        <v>240</v>
      </c>
    </row>
    <row r="24" spans="8:13">
      <c r="H24" t="s">
        <v>205</v>
      </c>
      <c r="I24" t="s">
        <v>241</v>
      </c>
      <c r="J24" t="s">
        <v>242</v>
      </c>
    </row>
    <row r="25" spans="8:13">
      <c r="H25" t="s">
        <v>206</v>
      </c>
      <c r="I25" t="s">
        <v>231</v>
      </c>
      <c r="J25" t="s">
        <v>232</v>
      </c>
    </row>
    <row r="26" spans="8:13">
      <c r="H26" t="s">
        <v>235</v>
      </c>
      <c r="I26" t="s">
        <v>233</v>
      </c>
      <c r="J26" t="s">
        <v>234</v>
      </c>
    </row>
    <row r="28" spans="8:13">
      <c r="H28" t="s">
        <v>207</v>
      </c>
      <c r="I28" s="4" t="s">
        <v>333</v>
      </c>
      <c r="J28" t="s">
        <v>225</v>
      </c>
    </row>
    <row r="29" spans="8:13">
      <c r="H29" t="s">
        <v>208</v>
      </c>
      <c r="I29" s="4" t="s">
        <v>243</v>
      </c>
      <c r="J29" t="s">
        <v>244</v>
      </c>
    </row>
    <row r="30" spans="8:13">
      <c r="H30" t="s">
        <v>210</v>
      </c>
      <c r="I30" t="s">
        <v>245</v>
      </c>
      <c r="J30" t="s">
        <v>236</v>
      </c>
    </row>
    <row r="31" spans="8:13">
      <c r="H31" t="s">
        <v>195</v>
      </c>
      <c r="I31" s="4" t="s">
        <v>191</v>
      </c>
      <c r="J31" t="s">
        <v>232</v>
      </c>
    </row>
    <row r="32" spans="8:13">
      <c r="H32" t="s">
        <v>211</v>
      </c>
      <c r="I32" s="4" t="s">
        <v>334</v>
      </c>
      <c r="J32" t="s">
        <v>246</v>
      </c>
    </row>
    <row r="33" spans="8:15">
      <c r="H33" t="s">
        <v>190</v>
      </c>
      <c r="I33" s="4" t="s">
        <v>335</v>
      </c>
      <c r="J33" t="s">
        <v>252</v>
      </c>
    </row>
    <row r="34" spans="8:15">
      <c r="H34" t="s">
        <v>341</v>
      </c>
      <c r="I34" s="4" t="s">
        <v>342</v>
      </c>
      <c r="J34" t="s">
        <v>343</v>
      </c>
    </row>
    <row r="36" spans="8:15">
      <c r="H36" t="s">
        <v>212</v>
      </c>
      <c r="I36" t="s">
        <v>332</v>
      </c>
      <c r="J36" t="s">
        <v>247</v>
      </c>
    </row>
    <row r="37" spans="8:15">
      <c r="H37" t="s">
        <v>213</v>
      </c>
      <c r="I37" s="4" t="s">
        <v>249</v>
      </c>
      <c r="J37" t="s">
        <v>248</v>
      </c>
    </row>
    <row r="38" spans="8:15">
      <c r="H38" t="s">
        <v>214</v>
      </c>
      <c r="I38" s="4" t="s">
        <v>250</v>
      </c>
      <c r="J38" t="s">
        <v>251</v>
      </c>
    </row>
    <row r="39" spans="8:15">
      <c r="H39" t="s">
        <v>264</v>
      </c>
      <c r="I39" s="4" t="s">
        <v>262</v>
      </c>
      <c r="J39" t="s">
        <v>263</v>
      </c>
    </row>
    <row r="40" spans="8:15">
      <c r="H40" t="s">
        <v>266</v>
      </c>
      <c r="I40" s="4" t="s">
        <v>267</v>
      </c>
      <c r="J40" t="s">
        <v>220</v>
      </c>
    </row>
    <row r="41" spans="8:15">
      <c r="H41" t="s">
        <v>168</v>
      </c>
      <c r="I41" t="s">
        <v>331</v>
      </c>
      <c r="J41" t="s">
        <v>268</v>
      </c>
    </row>
    <row r="43" spans="8:15">
      <c r="H43" t="s">
        <v>149</v>
      </c>
      <c r="I43" s="4" t="s">
        <v>261</v>
      </c>
      <c r="J43" t="s">
        <v>252</v>
      </c>
    </row>
    <row r="44" spans="8:15">
      <c r="H44" t="s">
        <v>152</v>
      </c>
      <c r="I44" s="4" t="s">
        <v>258</v>
      </c>
      <c r="J44" t="s">
        <v>257</v>
      </c>
    </row>
    <row r="45" spans="8:15">
      <c r="H45" t="s">
        <v>311</v>
      </c>
      <c r="I45" t="s">
        <v>255</v>
      </c>
      <c r="J45" t="s">
        <v>256</v>
      </c>
    </row>
    <row r="46" spans="8:15">
      <c r="H46" t="s">
        <v>339</v>
      </c>
      <c r="I46" t="s">
        <v>309</v>
      </c>
      <c r="J46" t="s">
        <v>310</v>
      </c>
      <c r="N46" t="s">
        <v>325</v>
      </c>
      <c r="O46" t="s">
        <v>328</v>
      </c>
    </row>
    <row r="47" spans="8:15">
      <c r="H47" t="s">
        <v>340</v>
      </c>
      <c r="I47" t="s">
        <v>338</v>
      </c>
      <c r="J47" t="s">
        <v>310</v>
      </c>
      <c r="N47" t="s">
        <v>326</v>
      </c>
      <c r="O47" t="s">
        <v>330</v>
      </c>
    </row>
    <row r="48" spans="8:15">
      <c r="N48" t="s">
        <v>327</v>
      </c>
      <c r="O48" t="s">
        <v>329</v>
      </c>
    </row>
    <row r="49" spans="8:10">
      <c r="H49" t="s">
        <v>209</v>
      </c>
      <c r="I49" s="4" t="s">
        <v>265</v>
      </c>
      <c r="J49" t="s">
        <v>269</v>
      </c>
    </row>
    <row r="50" spans="8:10">
      <c r="H50" t="s">
        <v>169</v>
      </c>
      <c r="I50" t="s">
        <v>276</v>
      </c>
      <c r="J50" t="s">
        <v>277</v>
      </c>
    </row>
    <row r="51" spans="8:10">
      <c r="H51" t="s">
        <v>202</v>
      </c>
      <c r="I51" s="4" t="s">
        <v>312</v>
      </c>
      <c r="J51" t="s">
        <v>236</v>
      </c>
    </row>
    <row r="52" spans="8:10">
      <c r="H52" t="s">
        <v>151</v>
      </c>
      <c r="I52" s="4" t="s">
        <v>270</v>
      </c>
      <c r="J52" t="s">
        <v>271</v>
      </c>
    </row>
    <row r="53" spans="8:10">
      <c r="H53" t="s">
        <v>178</v>
      </c>
      <c r="I53" t="s">
        <v>272</v>
      </c>
      <c r="J53" s="12" t="s">
        <v>273</v>
      </c>
    </row>
    <row r="54" spans="8:10">
      <c r="H54" t="s">
        <v>315</v>
      </c>
      <c r="I54" s="4" t="s">
        <v>313</v>
      </c>
      <c r="J54" t="s">
        <v>236</v>
      </c>
    </row>
    <row r="55" spans="8:10">
      <c r="H55" t="s">
        <v>150</v>
      </c>
      <c r="I55" s="4" t="s">
        <v>274</v>
      </c>
      <c r="J55" t="s">
        <v>275</v>
      </c>
    </row>
    <row r="56" spans="8:10">
      <c r="H56" t="s">
        <v>179</v>
      </c>
      <c r="I56" t="s">
        <v>280</v>
      </c>
      <c r="J56" t="s">
        <v>281</v>
      </c>
    </row>
    <row r="57" spans="8:10">
      <c r="H57" t="s">
        <v>316</v>
      </c>
      <c r="I57" s="4" t="s">
        <v>314</v>
      </c>
      <c r="J57" t="s">
        <v>236</v>
      </c>
    </row>
    <row r="58" spans="8:10">
      <c r="H58" t="s">
        <v>153</v>
      </c>
      <c r="I58" s="4" t="s">
        <v>300</v>
      </c>
      <c r="J58" t="s">
        <v>301</v>
      </c>
    </row>
    <row r="59" spans="8:10">
      <c r="H59" t="s">
        <v>279</v>
      </c>
      <c r="I59" s="14" t="s">
        <v>278</v>
      </c>
      <c r="J59" t="s">
        <v>225</v>
      </c>
    </row>
    <row r="60" spans="8:10">
      <c r="H60" t="s">
        <v>282</v>
      </c>
      <c r="I60" s="15" t="s">
        <v>324</v>
      </c>
      <c r="J60" t="s">
        <v>283</v>
      </c>
    </row>
    <row r="63" spans="8:10">
      <c r="H63" t="s">
        <v>296</v>
      </c>
      <c r="I63" t="s">
        <v>297</v>
      </c>
      <c r="J63" t="s">
        <v>236</v>
      </c>
    </row>
    <row r="64" spans="8:10">
      <c r="H64" t="s">
        <v>186</v>
      </c>
      <c r="I64" t="s">
        <v>294</v>
      </c>
      <c r="J64" t="s">
        <v>295</v>
      </c>
    </row>
    <row r="65" spans="8:10">
      <c r="H65" t="s">
        <v>187</v>
      </c>
      <c r="I65" t="s">
        <v>292</v>
      </c>
      <c r="J65" t="s">
        <v>293</v>
      </c>
    </row>
    <row r="66" spans="8:10">
      <c r="H66" t="s">
        <v>147</v>
      </c>
      <c r="I66" s="4" t="s">
        <v>298</v>
      </c>
      <c r="J66" t="s">
        <v>299</v>
      </c>
    </row>
    <row r="67" spans="8:10">
      <c r="H67" t="s">
        <v>284</v>
      </c>
      <c r="I67" t="s">
        <v>285</v>
      </c>
      <c r="J67" t="s">
        <v>286</v>
      </c>
    </row>
    <row r="68" spans="8:10">
      <c r="H68" t="s">
        <v>323</v>
      </c>
      <c r="I68" t="s">
        <v>321</v>
      </c>
      <c r="J68" t="s">
        <v>322</v>
      </c>
    </row>
    <row r="69" spans="8:10">
      <c r="H69" t="s">
        <v>302</v>
      </c>
      <c r="I69" t="s">
        <v>287</v>
      </c>
      <c r="J69" t="s">
        <v>288</v>
      </c>
    </row>
    <row r="70" spans="8:10">
      <c r="H70" t="s">
        <v>289</v>
      </c>
      <c r="I70" t="s">
        <v>291</v>
      </c>
      <c r="J70" t="s">
        <v>290</v>
      </c>
    </row>
    <row r="71" spans="8:10">
      <c r="H71" t="s">
        <v>183</v>
      </c>
      <c r="I71" t="s">
        <v>319</v>
      </c>
      <c r="J71" t="s">
        <v>320</v>
      </c>
    </row>
    <row r="74" spans="8:10">
      <c r="H74" t="s">
        <v>165</v>
      </c>
      <c r="I74" t="s">
        <v>164</v>
      </c>
    </row>
    <row r="75" spans="8:10">
      <c r="H75" t="s">
        <v>154</v>
      </c>
      <c r="I75" t="s">
        <v>155</v>
      </c>
    </row>
    <row r="76" spans="8:10">
      <c r="H76" t="s">
        <v>156</v>
      </c>
      <c r="I76" s="4" t="s">
        <v>157</v>
      </c>
    </row>
    <row r="77" spans="8:10">
      <c r="H77" t="s">
        <v>159</v>
      </c>
      <c r="I77" t="s">
        <v>158</v>
      </c>
    </row>
    <row r="78" spans="8:10">
      <c r="H78" t="s">
        <v>167</v>
      </c>
      <c r="I78" t="s">
        <v>166</v>
      </c>
    </row>
    <row r="79" spans="8:10">
      <c r="H79" t="s">
        <v>170</v>
      </c>
      <c r="I79" t="s">
        <v>173</v>
      </c>
    </row>
    <row r="80" spans="8:10">
      <c r="H80" t="s">
        <v>171</v>
      </c>
      <c r="I80" t="s">
        <v>174</v>
      </c>
    </row>
    <row r="81" spans="8:9">
      <c r="H81" t="s">
        <v>172</v>
      </c>
      <c r="I81" t="s">
        <v>175</v>
      </c>
    </row>
    <row r="82" spans="8:9">
      <c r="H82" t="s">
        <v>176</v>
      </c>
      <c r="I82" t="s">
        <v>177</v>
      </c>
    </row>
    <row r="83" spans="8:9">
      <c r="H83" t="s">
        <v>180</v>
      </c>
      <c r="I83" t="s">
        <v>181</v>
      </c>
    </row>
    <row r="84" spans="8:9">
      <c r="H84" t="s">
        <v>148</v>
      </c>
      <c r="I84" s="4" t="s">
        <v>182</v>
      </c>
    </row>
  </sheetData>
  <phoneticPr fontId="1" type="noConversion"/>
  <dataValidations count="1">
    <dataValidation type="list" allowBlank="1" showInputMessage="1" showErrorMessage="1" sqref="H58" xr:uid="{00000000-0002-0000-0100-00000000000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Ref!$C$2:$C$6</xm:f>
          </x14:formula1>
          <xm:sqref>D34:D52 D1:D3 D17:D19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5"/>
  <dimension ref="A1:D17"/>
  <sheetViews>
    <sheetView workbookViewId="0">
      <selection activeCell="D6" sqref="D2:D6"/>
    </sheetView>
  </sheetViews>
  <sheetFormatPr defaultRowHeight="16.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4" s="1" customFormat="1">
      <c r="A1" s="3" t="s">
        <v>19</v>
      </c>
      <c r="B1" s="3" t="s">
        <v>17</v>
      </c>
      <c r="C1" s="1" t="s">
        <v>86</v>
      </c>
      <c r="D1" s="1" t="s">
        <v>87</v>
      </c>
    </row>
    <row r="2" spans="1:4">
      <c r="A2" s="2" t="s">
        <v>62</v>
      </c>
      <c r="B2" s="2" t="s">
        <v>49</v>
      </c>
      <c r="C2" t="s">
        <v>95</v>
      </c>
      <c r="D2" s="4" t="s">
        <v>92</v>
      </c>
    </row>
    <row r="3" spans="1:4">
      <c r="A3" s="2" t="s">
        <v>57</v>
      </c>
      <c r="B3" s="2" t="s">
        <v>51</v>
      </c>
      <c r="C3" t="s">
        <v>94</v>
      </c>
      <c r="D3" s="4" t="s">
        <v>88</v>
      </c>
    </row>
    <row r="4" spans="1:4">
      <c r="A4" s="2" t="s">
        <v>58</v>
      </c>
      <c r="B4" s="2" t="s">
        <v>55</v>
      </c>
      <c r="C4" t="s">
        <v>97</v>
      </c>
      <c r="D4" s="4" t="s">
        <v>89</v>
      </c>
    </row>
    <row r="5" spans="1:4">
      <c r="A5" s="2" t="s">
        <v>59</v>
      </c>
      <c r="B5" s="2" t="s">
        <v>53</v>
      </c>
      <c r="C5" t="s">
        <v>99</v>
      </c>
      <c r="D5" s="4" t="s">
        <v>90</v>
      </c>
    </row>
    <row r="6" spans="1:4">
      <c r="A6" s="2" t="s">
        <v>11</v>
      </c>
      <c r="B6" s="2" t="s">
        <v>31</v>
      </c>
      <c r="C6" t="s">
        <v>101</v>
      </c>
      <c r="D6" s="4" t="s">
        <v>91</v>
      </c>
    </row>
    <row r="7" spans="1:4">
      <c r="A7" s="2" t="s">
        <v>38</v>
      </c>
      <c r="B7" s="2" t="s">
        <v>35</v>
      </c>
    </row>
    <row r="8" spans="1:4">
      <c r="A8" s="2" t="s">
        <v>39</v>
      </c>
      <c r="B8" s="2" t="s">
        <v>36</v>
      </c>
    </row>
    <row r="9" spans="1:4">
      <c r="A9" s="2" t="s">
        <v>12</v>
      </c>
      <c r="B9" s="2" t="s">
        <v>32</v>
      </c>
    </row>
    <row r="10" spans="1:4">
      <c r="A10" s="2" t="s">
        <v>80</v>
      </c>
      <c r="B10" s="2" t="s">
        <v>81</v>
      </c>
    </row>
    <row r="11" spans="1:4">
      <c r="A11" s="2" t="s">
        <v>79</v>
      </c>
      <c r="B11" s="2" t="s">
        <v>5</v>
      </c>
    </row>
    <row r="12" spans="1:4">
      <c r="A12" s="2" t="s">
        <v>13</v>
      </c>
      <c r="B12" s="2" t="s">
        <v>6</v>
      </c>
    </row>
    <row r="13" spans="1:4">
      <c r="A13" s="2" t="s">
        <v>14</v>
      </c>
      <c r="B13" s="2" t="s">
        <v>33</v>
      </c>
    </row>
    <row r="14" spans="1:4">
      <c r="A14" s="2" t="s">
        <v>40</v>
      </c>
      <c r="B14" s="2" t="s">
        <v>7</v>
      </c>
    </row>
    <row r="15" spans="1:4">
      <c r="A15" s="2" t="s">
        <v>60</v>
      </c>
      <c r="B15" s="2" t="s">
        <v>45</v>
      </c>
    </row>
    <row r="16" spans="1:4">
      <c r="A16" s="2" t="s">
        <v>61</v>
      </c>
      <c r="B16" s="2" t="s">
        <v>47</v>
      </c>
    </row>
    <row r="17" spans="1:2">
      <c r="A17" s="2" t="s">
        <v>37</v>
      </c>
      <c r="B17" s="2" t="s">
        <v>34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2</vt:i4>
      </vt:variant>
    </vt:vector>
  </HeadingPairs>
  <TitlesOfParts>
    <vt:vector size="6" baseType="lpstr">
      <vt:lpstr>Strengthen</vt:lpstr>
      <vt:lpstr>Enchant</vt:lpstr>
      <vt:lpstr>BOSS技能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2018-11-19T01:10:01Z</dcterms:modified>
</cp:coreProperties>
</file>