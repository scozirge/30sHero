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0" windowWidth="14805" windowHeight="7065" activeTab="1"/>
  </bookViews>
  <sheets>
    <sheet name="Strengthen" sheetId="1" r:id="rId1"/>
    <sheet name="Enchant" sheetId="6" r:id="rId2"/>
    <sheet name="BOSS技能" sheetId="7" r:id="rId3"/>
    <sheet name="Ref" sheetId="5" r:id="rId4"/>
  </sheets>
  <functionGroups builtInGroupCount="17"/>
  <externalReferences>
    <externalReference r:id="rId5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N64" i="6" l="1"/>
  <c r="M64" i="6"/>
  <c r="L4" i="6" l="1"/>
  <c r="M4" i="6"/>
  <c r="N4" i="6" s="1"/>
  <c r="L5" i="6"/>
  <c r="M5" i="6"/>
  <c r="N5" i="6" s="1"/>
  <c r="L6" i="6"/>
  <c r="M6" i="6"/>
  <c r="N6" i="6" s="1"/>
  <c r="L7" i="6"/>
  <c r="M7" i="6"/>
  <c r="N7" i="6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/>
  <c r="L28" i="6"/>
  <c r="M28" i="6"/>
  <c r="N28" i="6" s="1"/>
  <c r="L29" i="6"/>
  <c r="M29" i="6"/>
  <c r="N29" i="6" s="1"/>
  <c r="L30" i="6"/>
  <c r="M30" i="6"/>
  <c r="N30" i="6" s="1"/>
  <c r="L31" i="6"/>
  <c r="M31" i="6"/>
  <c r="N31" i="6"/>
  <c r="L32" i="6"/>
  <c r="M32" i="6"/>
  <c r="N32" i="6" s="1"/>
  <c r="L33" i="6"/>
  <c r="M33" i="6"/>
  <c r="N33" i="6" s="1"/>
  <c r="L34" i="6"/>
  <c r="M34" i="6"/>
  <c r="N34" i="6" s="1"/>
  <c r="L35" i="6"/>
  <c r="M35" i="6"/>
  <c r="N35" i="6"/>
  <c r="L36" i="6"/>
  <c r="M36" i="6"/>
  <c r="N36" i="6" s="1"/>
  <c r="L37" i="6"/>
  <c r="M37" i="6"/>
  <c r="N37" i="6" s="1"/>
  <c r="L38" i="6"/>
  <c r="M38" i="6"/>
  <c r="N38" i="6" s="1"/>
  <c r="L39" i="6"/>
  <c r="M39" i="6"/>
  <c r="N39" i="6"/>
  <c r="L40" i="6"/>
  <c r="M40" i="6"/>
  <c r="N40" i="6" s="1"/>
  <c r="L41" i="6"/>
  <c r="M41" i="6"/>
  <c r="N41" i="6" s="1"/>
  <c r="L42" i="6"/>
  <c r="M42" i="6"/>
  <c r="N42" i="6" s="1"/>
  <c r="L43" i="6"/>
  <c r="M43" i="6"/>
  <c r="N43" i="6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/>
  <c r="L60" i="6"/>
  <c r="M60" i="6"/>
  <c r="N60" i="6" s="1"/>
  <c r="L61" i="6"/>
  <c r="M61" i="6"/>
  <c r="N61" i="6" s="1"/>
  <c r="L62" i="6"/>
  <c r="M62" i="6"/>
  <c r="N62" i="6" s="1"/>
  <c r="L63" i="6"/>
  <c r="M63" i="6"/>
  <c r="N63" i="6"/>
  <c r="M4" i="1" l="1"/>
  <c r="M5" i="1"/>
  <c r="M6" i="1"/>
  <c r="M7" i="1"/>
  <c r="M8" i="1"/>
  <c r="M9" i="1"/>
  <c r="M10" i="1"/>
  <c r="M11" i="1"/>
  <c r="M12" i="1"/>
  <c r="M3" i="1"/>
  <c r="M3" i="6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<sst xmlns="http://schemas.openxmlformats.org/spreadsheetml/2006/main" count="787" uniqueCount="534">
  <si>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</si>
  <si>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</si>
  <si>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</si>
  <si>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</si>
  <si>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</si>
  <si>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</si>
  <si>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</si>
  <si>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</si>
  <si>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</si>
  <si>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</si>
  <si>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</si>
  <si>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</si>
  <si>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</si>
  <si>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</si>
  <si>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</si>
  <si>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</si>
  <si>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</si>
  <si>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</si>
  <si>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</si>
  <si>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</si>
  <si>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</si>
  <si>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</si>
  <si>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</si>
  <si>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</si>
  <si>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</si>
  <si>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</si>
  <si>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</si>
  <si>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</si>
  <si>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</si>
  <si>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</si>
  <si>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</si>
  <si>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</si>
  <si>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</si>
  <si>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</si>
  <si>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</si>
  <si>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</si>
  <si>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</si>
  <si>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</si>
  <si>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</si>
  <si>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</si>
  <si>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</si>
  <si>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</si>
  <si>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</si>
  <si>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</si>
  <si>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</si>
  <si>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</si>
  <si>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</si>
  <si>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</si>
  <si>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</si>
  <si>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</si>
  <si>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</si>
  <si>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</si>
  <si>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</si>
  <si>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</si>
  <si>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</si>
  <si>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</si>
  <si>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</si>
  <si>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</si>
  <si>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</si>
  <si>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</si>
  <si>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</si>
  <si>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</si>
  <si>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</si>
  <si>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</si>
  <si>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</si>
  <si>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</si>
  <si>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</si>
  <si>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</si>
  <si>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</si>
  <si>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</si>
  <si>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</si>
  <si>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</si>
  <si>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</si>
  <si>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</si>
  <si>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</si>
  <si>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</si>
  <si>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</si>
  <si>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</si>
  <si>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</si>
  <si>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</si>
  <si>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</si>
  <si>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</si>
  <si>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</si>
  <si>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</si>
  <si>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</si>
  <si>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</si>
  <si>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</si>
  <si>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</si>
  <si>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</si>
  <si>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</si>
  <si>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</si>
  <si>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</si>
  <si>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</si>
  <si>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</si>
  <si>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</si>
  <si>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</si>
  <si>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</si>
  <si>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</si>
  <si>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</si>
  <si>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</si>
  <si>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</si>
  <si>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</si>
  <si>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</si>
  <si>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</si>
  <si>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</si>
  <si>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</si>
  <si>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</si>
  <si>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</si>
  <si>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</si>
  <si>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</si>
  <si>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</si>
  <si>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</si>
  <si>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</si>
  <si>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</si>
  <si>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</si>
  <si>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RushCDResuce</t>
    <phoneticPr fontId="1" type="noConversion"/>
  </si>
  <si>
    <t>NoDamageRecovery</t>
    <phoneticPr fontId="1" type="noConversion"/>
  </si>
  <si>
    <t>ShockWave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</si>
  <si>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</si>
  <si>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</si>
  <si>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</si>
  <si>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</si>
  <si>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</si>
  <si>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</si>
  <si>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</si>
  <si>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</si>
  <si>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</si>
  <si>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</si>
  <si>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</si>
  <si>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</si>
  <si>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</si>
  <si>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燈塔</t>
    <phoneticPr fontId="1" type="noConversion"/>
  </si>
  <si>
    <t>格擋</t>
    <phoneticPr fontId="1" type="noConversion"/>
  </si>
  <si>
    <t>牧羊人</t>
    <phoneticPr fontId="1" type="noConversion"/>
  </si>
  <si>
    <t>僻毒</t>
    <phoneticPr fontId="1" type="noConversion"/>
  </si>
  <si>
    <t>禦寒</t>
    <phoneticPr fontId="1" type="noConversion"/>
  </si>
  <si>
    <t>火力全開</t>
    <phoneticPr fontId="1" type="noConversion"/>
  </si>
  <si>
    <t>堅毅</t>
    <phoneticPr fontId="1" type="noConversion"/>
  </si>
  <si>
    <t>重踏</t>
    <phoneticPr fontId="1" type="noConversion"/>
  </si>
  <si>
    <t>每20秒重踏地面造成傷害</t>
    <phoneticPr fontId="1" type="noConversion"/>
  </si>
  <si>
    <t>落雷</t>
    <phoneticPr fontId="1" type="noConversion"/>
  </si>
  <si>
    <t>每17秒對最近的1名目標打雷造成暈眩</t>
    <phoneticPr fontId="1" type="noConversion"/>
  </si>
  <si>
    <t>對最近目標施放追蹤電磁砲</t>
    <phoneticPr fontId="1" type="noConversion"/>
  </si>
  <si>
    <t>電磁砲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</si>
  <si>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</si>
  <si>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</si>
  <si>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</si>
  <si>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每15秒向最近的敵方射出光束</t>
    <phoneticPr fontId="1" type="noConversion"/>
  </si>
  <si>
    <t>電光眼</t>
    <phoneticPr fontId="1" type="noConversion"/>
  </si>
  <si>
    <t>獲得裝備時朝最近敵方投出裝備</t>
    <phoneticPr fontId="1" type="noConversion"/>
  </si>
  <si>
    <t>裝備投擲</t>
    <phoneticPr fontId="1" type="noConversion"/>
  </si>
  <si>
    <t>凱旋</t>
    <phoneticPr fontId="1" type="noConversion"/>
  </si>
  <si>
    <t>走火入魔</t>
    <phoneticPr fontId="1" type="noConversion"/>
  </si>
  <si>
    <t>火球</t>
    <phoneticPr fontId="1" type="noConversion"/>
  </si>
  <si>
    <t>冰刨</t>
    <phoneticPr fontId="1" type="noConversion"/>
  </si>
  <si>
    <t>毒液</t>
    <phoneticPr fontId="1" type="noConversion"/>
  </si>
  <si>
    <t>每13秒向最近的敵方射出火球</t>
    <phoneticPr fontId="1" type="noConversion"/>
  </si>
  <si>
    <t>每13秒向最近的敵方射出冰刨</t>
    <phoneticPr fontId="1" type="noConversion"/>
  </si>
  <si>
    <t>每13秒向最近的敵方射出毒液</t>
    <phoneticPr fontId="1" type="noConversion"/>
  </si>
  <si>
    <t>骨刺</t>
    <phoneticPr fontId="1" type="noConversion"/>
  </si>
  <si>
    <t>每10秒向最近的敵方射出骨刺</t>
    <phoneticPr fontId="1" type="noConversion"/>
  </si>
  <si>
    <t>寒冰甲</t>
    <phoneticPr fontId="1" type="noConversion"/>
  </si>
  <si>
    <t>毒癮</t>
    <phoneticPr fontId="1" type="noConversion"/>
  </si>
  <si>
    <t>投擲巨石</t>
    <phoneticPr fontId="1" type="noConversion"/>
  </si>
  <si>
    <t>每15秒向最近的敵方射出巨石</t>
    <phoneticPr fontId="1" type="noConversion"/>
  </si>
  <si>
    <t>每20秒產生一道護罩持續3秒</t>
    <phoneticPr fontId="1" type="noConversion"/>
  </si>
  <si>
    <t>再生</t>
  </si>
  <si>
    <t>包紮</t>
    <phoneticPr fontId="3" type="noConversion"/>
  </si>
  <si>
    <t>吞食成長</t>
    <phoneticPr fontId="1" type="noConversion"/>
  </si>
  <si>
    <t>縮頭烏龜</t>
    <phoneticPr fontId="1" type="noConversion"/>
  </si>
  <si>
    <t>菁英爆破</t>
    <phoneticPr fontId="1" type="noConversion"/>
  </si>
  <si>
    <t>刀子有{0}機率暈眩敵人1.5秒</t>
    <phoneticPr fontId="1" type="noConversion"/>
  </si>
  <si>
    <t>巨力衝擊</t>
  </si>
  <si>
    <t>蒐集者</t>
  </si>
  <si>
    <t>護盾偏轉</t>
  </si>
  <si>
    <t>護盾存在時有{0}機率反彈子彈</t>
    <phoneticPr fontId="1" type="noConversion"/>
  </si>
  <si>
    <t>使用刀子殺死敵方怪物最大生命成長1%</t>
    <phoneticPr fontId="1" type="noConversion"/>
  </si>
  <si>
    <t>藥劑狂熱</t>
    <phoneticPr fontId="1" type="noConversion"/>
  </si>
  <si>
    <t>燃燒武器</t>
  </si>
  <si>
    <t>淬毒武器</t>
  </si>
  <si>
    <t>冷凍武器</t>
  </si>
  <si>
    <t>長手族</t>
  </si>
  <si>
    <t>衝擊斬</t>
  </si>
  <si>
    <t>質量守恆</t>
  </si>
  <si>
    <t>灼熱踐踏</t>
  </si>
  <si>
    <t>無堅不摧</t>
  </si>
  <si>
    <t>天搖地動</t>
  </si>
  <si>
    <t>慣性</t>
  </si>
  <si>
    <t>逆向衝擊</t>
  </si>
  <si>
    <t>藥劑師</t>
  </si>
  <si>
    <t>過敏體質</t>
  </si>
  <si>
    <t>耐火</t>
  </si>
  <si>
    <t>副作用</t>
  </si>
  <si>
    <t>煉金術</t>
  </si>
  <si>
    <t>飛濺針刺</t>
  </si>
  <si>
    <t>苟延殘喘</t>
  </si>
  <si>
    <t>突變</t>
  </si>
  <si>
    <t>效果</t>
    <phoneticPr fontId="1" type="noConversion"/>
  </si>
  <si>
    <t>升級</t>
    <phoneticPr fontId="1" type="noConversion"/>
  </si>
  <si>
    <t>10/15/20%機率</t>
    <phoneticPr fontId="1" type="noConversion"/>
  </si>
  <si>
    <t>5/10/15%距離</t>
    <phoneticPr fontId="1" type="noConversion"/>
  </si>
  <si>
    <t>1/2/3%生命上限</t>
    <phoneticPr fontId="1" type="noConversion"/>
  </si>
  <si>
    <t>5/10/15%機率</t>
    <phoneticPr fontId="1" type="noConversion"/>
  </si>
  <si>
    <t>逆境重生</t>
    <phoneticPr fontId="1" type="noConversion"/>
  </si>
  <si>
    <t>間次護盾</t>
    <phoneticPr fontId="1" type="noConversion"/>
  </si>
  <si>
    <t>護盾存在時被近戰攻擊時反彈受到傷害</t>
    <phoneticPr fontId="1" type="noConversion"/>
  </si>
  <si>
    <t>護盾存在時受到元素傷害有{0}機率不會受元素狀態影響</t>
    <phoneticPr fontId="1" type="noConversion"/>
  </si>
  <si>
    <t>50/75/100%機率</t>
    <phoneticPr fontId="1" type="noConversion"/>
  </si>
  <si>
    <t>10/20/30%受到傷害</t>
    <phoneticPr fontId="1" type="noConversion"/>
  </si>
  <si>
    <t>元素吸收</t>
    <phoneticPr fontId="1" type="noConversion"/>
  </si>
  <si>
    <t>受到元素負面效果(火/冰/毒)時增加護盾恢復量</t>
    <phoneticPr fontId="1" type="noConversion"/>
  </si>
  <si>
    <t>20/35/50%護盾恢復</t>
    <phoneticPr fontId="1" type="noConversion"/>
  </si>
  <si>
    <t>受到致命傷害時有機率不死且立即恢復50%護盾</t>
    <phoneticPr fontId="1" type="noConversion"/>
  </si>
  <si>
    <t>衝刺時有{0}機率回彈敵方子彈</t>
    <phoneticPr fontId="1" type="noConversion"/>
  </si>
  <si>
    <t>50/75/100%回彈機率</t>
    <phoneticPr fontId="1" type="noConversion"/>
  </si>
  <si>
    <t>自身血量低於{0}%時，減少衝刺CD0.5秒</t>
    <phoneticPr fontId="1" type="noConversion"/>
  </si>
  <si>
    <t>20/30/40%血量</t>
    <phoneticPr fontId="1" type="noConversion"/>
  </si>
  <si>
    <t>極限衝刺</t>
    <phoneticPr fontId="1" type="noConversion"/>
  </si>
  <si>
    <t>2/3/4秒</t>
    <phoneticPr fontId="1" type="noConversion"/>
  </si>
  <si>
    <t>衝刺時增加刀子攻擊傷害</t>
    <phoneticPr fontId="1" type="noConversion"/>
  </si>
  <si>
    <t>10/15/20%刀子傷害</t>
    <phoneticPr fontId="1" type="noConversion"/>
  </si>
  <si>
    <t>衝刺時使用刀子擊殺敵人可造成{0}米範圍暈眩衝擊波</t>
    <phoneticPr fontId="1" type="noConversion"/>
  </si>
  <si>
    <t>1/1.5/2米範圍</t>
    <phoneticPr fontId="1" type="noConversion"/>
  </si>
  <si>
    <t>衝刺後移動速度上升</t>
    <phoneticPr fontId="1" type="noConversion"/>
  </si>
  <si>
    <t>10/25/50速度</t>
    <phoneticPr fontId="1" type="noConversion"/>
  </si>
  <si>
    <t>增加藥水效果持續時間{0}秒</t>
    <phoneticPr fontId="1" type="noConversion"/>
  </si>
  <si>
    <t>0.5/1/2秒</t>
    <phoneticPr fontId="1" type="noConversion"/>
  </si>
  <si>
    <t>喝下藥水後在走過的路徑上留下可造成中毒的區域持續{0}秒</t>
    <phoneticPr fontId="1" type="noConversion"/>
  </si>
  <si>
    <t>10/20/30%機率</t>
    <phoneticPr fontId="1" type="noConversion"/>
  </si>
  <si>
    <t>50/75/100%刀子傷害</t>
    <phoneticPr fontId="1" type="noConversion"/>
  </si>
  <si>
    <t>130/160/200%無敵時間</t>
    <phoneticPr fontId="1" type="noConversion"/>
  </si>
  <si>
    <t>延長變回史萊姆時的無敵時間</t>
    <phoneticPr fontId="1" type="noConversion"/>
  </si>
  <si>
    <t>增加變回史萊姆時的移動速度(減少跳躍的CD)</t>
    <phoneticPr fontId="1" type="noConversion"/>
  </si>
  <si>
    <t>80/70/50%CD</t>
    <phoneticPr fontId="1" type="noConversion"/>
  </si>
  <si>
    <t>50/75/100%距離</t>
    <phoneticPr fontId="1" type="noConversion"/>
  </si>
  <si>
    <t>使用刀子殺死敵方怪物有機率獲得額外50%擊殺怪物掉落的金幣</t>
    <phoneticPr fontId="1" type="noConversion"/>
  </si>
  <si>
    <t>點石成金</t>
    <phoneticPr fontId="1" type="noConversion"/>
  </si>
  <si>
    <t>每多一隻怪物靈魂，增加{0}怪物靈魂掉落機率</t>
    <phoneticPr fontId="1" type="noConversion"/>
  </si>
  <si>
    <t>20/30/50%掉落機率</t>
    <phoneticPr fontId="1" type="noConversion"/>
  </si>
  <si>
    <t>0.1/0.2/0.3秒</t>
    <phoneticPr fontId="1" type="noConversion"/>
  </si>
  <si>
    <t>怪物技能攻擊週期減少{0}秒</t>
    <phoneticPr fontId="1" type="noConversion"/>
  </si>
  <si>
    <t>護盾破碎時有{0}機率放出冰凍衝擊波</t>
    <phoneticPr fontId="1" type="noConversion"/>
  </si>
  <si>
    <t>冰霜衝擊</t>
    <phoneticPr fontId="1" type="noConversion"/>
  </si>
  <si>
    <t>自動吸引靈魂，升級增加吸引距離</t>
    <phoneticPr fontId="1" type="noConversion"/>
  </si>
  <si>
    <t>使用史萊姆狀態衝撞城門有{0}機率獲得2倍寶石</t>
    <phoneticPr fontId="1" type="noConversion"/>
  </si>
  <si>
    <t>10/30/50%機率</t>
    <phoneticPr fontId="1" type="noConversion"/>
  </si>
  <si>
    <t>小兵立大功</t>
    <phoneticPr fontId="1" type="noConversion"/>
  </si>
  <si>
    <t>減少{0}%燃燒受到的傷害</t>
    <phoneticPr fontId="1" type="noConversion"/>
  </si>
  <si>
    <t>麻雀變鳳凰</t>
    <phoneticPr fontId="1" type="noConversion"/>
  </si>
  <si>
    <t>使用史萊姆狀態衝撞城門有{0}機率重變為英雄</t>
    <phoneticPr fontId="1" type="noConversion"/>
  </si>
  <si>
    <t>2/3/5秒</t>
    <phoneticPr fontId="1" type="noConversion"/>
  </si>
  <si>
    <t>10/20/30%燃燒傷害減免</t>
    <phoneticPr fontId="1" type="noConversion"/>
  </si>
  <si>
    <t>冰凍時減少{0}%移動速度降低量</t>
    <phoneticPr fontId="1" type="noConversion"/>
  </si>
  <si>
    <t>10/20/30%緩速減免</t>
    <phoneticPr fontId="1" type="noConversion"/>
  </si>
  <si>
    <t>冰凍時受到傷害降低{0}%</t>
    <phoneticPr fontId="1" type="noConversion"/>
  </si>
  <si>
    <t>5/10/20%傷害減免</t>
    <phoneticPr fontId="1" type="noConversion"/>
  </si>
  <si>
    <t>中毒時減少{0}%降低的傷害量</t>
    <phoneticPr fontId="1" type="noConversion"/>
  </si>
  <si>
    <t>10/20/30%衰弱減免</t>
    <phoneticPr fontId="1" type="noConversion"/>
  </si>
  <si>
    <t>燃燒狀態時增加{0}%刀子傷害</t>
    <phoneticPr fontId="1" type="noConversion"/>
  </si>
  <si>
    <t>10/20/30%刀子傷害</t>
    <phoneticPr fontId="1" type="noConversion"/>
  </si>
  <si>
    <t>同時遭受兩種負面效果時，有{0}機率移除全部負面效果</t>
    <phoneticPr fontId="1" type="noConversion"/>
  </si>
  <si>
    <t>以毒攻毒</t>
    <phoneticPr fontId="1" type="noConversion"/>
  </si>
  <si>
    <t>中毒時移動速度上升{0}%</t>
    <phoneticPr fontId="1" type="noConversion"/>
  </si>
  <si>
    <t>10/20/30%移動速度</t>
    <phoneticPr fontId="1" type="noConversion"/>
  </si>
  <si>
    <t>元素過載</t>
    <phoneticPr fontId="1" type="noConversion"/>
  </si>
  <si>
    <t>20/30/60%機率</t>
    <phoneticPr fontId="1" type="noConversion"/>
  </si>
  <si>
    <t>尋寶專家</t>
    <phoneticPr fontId="1" type="noConversion"/>
  </si>
  <si>
    <t>每撞破一個城門增加{0}%掉落金錢</t>
    <phoneticPr fontId="1" type="noConversion"/>
  </si>
  <si>
    <t>5/10/15%掉落金錢</t>
    <phoneticPr fontId="1" type="noConversion"/>
  </si>
  <si>
    <t>每擊殺一隻BOSS增加{0}%掉落寶石</t>
    <phoneticPr fontId="1" type="noConversion"/>
  </si>
  <si>
    <t>5/10/15%掉落寶石</t>
    <phoneticPr fontId="1" type="noConversion"/>
  </si>
  <si>
    <t>規則破壞者</t>
    <phoneticPr fontId="1" type="noConversion"/>
  </si>
  <si>
    <t>60/50/40%生命上限</t>
    <phoneticPr fontId="1" type="noConversion"/>
  </si>
  <si>
    <t>當護盾破碎時，受到超過{0}%生命上限的攻擊時，只會受到40%傷害</t>
    <phoneticPr fontId="1" type="noConversion"/>
  </si>
  <si>
    <t>連續對同樣目標進行3次攻擊後，第3下攻擊造成造成額外{0}傷害</t>
    <phoneticPr fontId="1" type="noConversion"/>
  </si>
  <si>
    <t>50/75/100%傷害</t>
    <phoneticPr fontId="1" type="noConversion"/>
  </si>
  <si>
    <t>來自移動反方向的傷害降低{0}%</t>
    <phoneticPr fontId="1" type="noConversion"/>
  </si>
  <si>
    <t>10/20/30%傷害降低</t>
    <phoneticPr fontId="1" type="noConversion"/>
  </si>
  <si>
    <t>怒火沖天</t>
    <phoneticPr fontId="1" type="noConversion"/>
  </si>
  <si>
    <t>連續{0}秒內受到3次攻擊後自身爆破造成周圍敵人燃燒</t>
    <phoneticPr fontId="1" type="noConversion"/>
  </si>
  <si>
    <t>視野增加{0}%</t>
    <phoneticPr fontId="1" type="noConversion"/>
  </si>
  <si>
    <t>10/20/30%距離</t>
    <phoneticPr fontId="1" type="noConversion"/>
  </si>
  <si>
    <t>暈眩時受到傷害降低{0}%</t>
    <phoneticPr fontId="1" type="noConversion"/>
  </si>
  <si>
    <t>20/40/60%傷害減免</t>
    <phoneticPr fontId="1" type="noConversion"/>
  </si>
  <si>
    <t>弒王者</t>
    <phoneticPr fontId="1" type="noConversion"/>
  </si>
  <si>
    <t>使用刀子擊殺燃燒的怪物有{0}機率產生中範圍的火焰爆炸，使敵人燃燒</t>
    <phoneticPr fontId="1" type="noConversion"/>
  </si>
  <si>
    <t>使用刀子擊殺中毒的怪物有{0}機率產生中範圍的毒氣爆炸，使敵人中毒</t>
    <phoneticPr fontId="1" type="noConversion"/>
  </si>
  <si>
    <t>使用刀子擊殺冰凍的怪物有{0}機率產生中範圍的冰霜爆炸，使敵人冰凍</t>
    <phoneticPr fontId="1" type="noConversion"/>
  </si>
  <si>
    <t>冰霜斬擊</t>
    <phoneticPr fontId="1" type="noConversion"/>
  </si>
  <si>
    <t>劇毒斬擊</t>
    <phoneticPr fontId="1" type="noConversion"/>
  </si>
  <si>
    <t>火焰斬擊</t>
    <phoneticPr fontId="1" type="noConversion"/>
  </si>
  <si>
    <t>每多一隻怪物靈魂，減少{0}%子彈傷害</t>
    <phoneticPr fontId="1" type="noConversion"/>
  </si>
  <si>
    <t>5/7/10%傷害減免</t>
    <phoneticPr fontId="1" type="noConversion"/>
  </si>
  <si>
    <t>收割者</t>
    <phoneticPr fontId="1" type="noConversion"/>
  </si>
  <si>
    <t>燃燒狀態時衝刺後地上留下可造成燃燒的區域持續{0}秒</t>
    <phoneticPr fontId="1" type="noConversion"/>
  </si>
  <si>
    <t>冰凍狀態時衝刺後地上留下可造成冰凍的區域持續{0}秒</t>
    <phoneticPr fontId="1" type="noConversion"/>
  </si>
  <si>
    <t>中毒狀態時衝刺後地上留下可造成中毒的區域持續{0}秒</t>
    <phoneticPr fontId="1" type="noConversion"/>
  </si>
  <si>
    <t>冰牆</t>
    <phoneticPr fontId="1" type="noConversion"/>
  </si>
  <si>
    <t>帶原者</t>
    <phoneticPr fontId="1" type="noConversion"/>
  </si>
  <si>
    <t>狂戰士</t>
    <phoneticPr fontId="1" type="noConversion"/>
  </si>
  <si>
    <t>血量低於40%時，使用刀子攻擊有{0}機率造成1.5倍傷害</t>
    <phoneticPr fontId="1" type="noConversion"/>
  </si>
  <si>
    <t>每10秒恢復{0}%血量</t>
    <phoneticPr fontId="1" type="noConversion"/>
  </si>
  <si>
    <t>2/5/10%血量</t>
    <phoneticPr fontId="1" type="noConversion"/>
  </si>
  <si>
    <t>擊殺BOSS獲得額外{0}秒變身時間</t>
    <phoneticPr fontId="1" type="noConversion"/>
  </si>
  <si>
    <t>5/10/15秒</t>
    <phoneticPr fontId="1" type="noConversion"/>
  </si>
  <si>
    <t>不屈勇者</t>
    <phoneticPr fontId="1" type="noConversion"/>
  </si>
  <si>
    <t>同時遭受兩種負面效果時，有{0}機率產生範圍爆炸，傷害等同50%刀子傷害</t>
    <phoneticPr fontId="1" type="noConversion"/>
  </si>
  <si>
    <t>冰火</t>
    <phoneticPr fontId="1" type="noConversion"/>
  </si>
  <si>
    <t>毒火</t>
    <phoneticPr fontId="1" type="noConversion"/>
  </si>
  <si>
    <t>冰毒</t>
    <phoneticPr fontId="1" type="noConversion"/>
  </si>
  <si>
    <t>爆炸</t>
    <phoneticPr fontId="1" type="noConversion"/>
  </si>
  <si>
    <t>暈眩</t>
    <phoneticPr fontId="1" type="noConversion"/>
  </si>
  <si>
    <t>擊暈</t>
    <phoneticPr fontId="1" type="noConversion"/>
  </si>
  <si>
    <t>使用勇者狀態衝撞城門後獲得額外{0}秒變身時間</t>
    <phoneticPr fontId="1" type="noConversion"/>
  </si>
  <si>
    <t>解除勇者狀態時向四周發射飛針，造成等同{0}%刀子傷害</t>
    <phoneticPr fontId="1" type="noConversion"/>
  </si>
  <si>
    <t>喝藥水時有{0}機率解除任意一個元素負面狀態</t>
    <phoneticPr fontId="1" type="noConversion"/>
  </si>
  <si>
    <t>獲得藥水時有{0}機率獲得額外50%擊殺怪物掉落的金幣</t>
    <phoneticPr fontId="1" type="noConversion"/>
  </si>
  <si>
    <t>增加{0}%自動吸引藥水距離</t>
    <phoneticPr fontId="1" type="noConversion"/>
  </si>
  <si>
    <t>刀子攻擊距離增加{0}%</t>
    <phoneticPr fontId="1" type="noConversion"/>
  </si>
  <si>
    <t>刀子攻擊有{0}%機率朝前方發出額外斬擊</t>
    <phoneticPr fontId="1" type="noConversion"/>
  </si>
  <si>
    <t>每多一隻怪物靈魂，減少{0}%近戰傷害</t>
    <phoneticPr fontId="1" type="noConversion"/>
  </si>
  <si>
    <t>幽魂折射</t>
    <phoneticPr fontId="1" type="noConversion"/>
  </si>
  <si>
    <t>靈魂護甲</t>
    <phoneticPr fontId="1" type="noConversion"/>
  </si>
  <si>
    <t>心血結晶</t>
    <phoneticPr fontId="1" type="noConversion"/>
  </si>
  <si>
    <t>血量全滿時喝下回血藥水，獲得等同{0}%回復量的金錢</t>
    <phoneticPr fontId="1" type="noConversion"/>
  </si>
  <si>
    <t>30/60/100%回復量</t>
    <phoneticPr fontId="1" type="noConversion"/>
  </si>
  <si>
    <t>2040/60%機率</t>
    <phoneticPr fontId="1" type="noConversion"/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</si>
  <si>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</si>
  <si>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</si>
  <si>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</si>
  <si>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</si>
  <si>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</si>
  <si>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</si>
  <si>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</si>
  <si>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</si>
  <si>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</si>
  <si>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</si>
  <si>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</si>
  <si>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</si>
  <si>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</si>
  <si>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</si>
  <si>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</si>
  <si>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</si>
  <si>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</si>
  <si>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</si>
  <si>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</si>
  <si>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</si>
  <si>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</si>
  <si>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</si>
  <si>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</si>
  <si>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</si>
  <si>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</si>
  <si>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</si>
  <si>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</si>
  <si>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</si>
  <si>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</si>
  <si>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</si>
  <si>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</si>
  <si>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</si>
  <si>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</si>
  <si>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</si>
  <si>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</si>
  <si>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</si>
  <si>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</si>
  <si>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</si>
  <si>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</si>
  <si>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</si>
  <si>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</si>
  <si>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</si>
  <si>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</si>
  <si>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</si>
  <si>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</si>
  <si>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</si>
  <si>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</si>
  <si>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</si>
  <si>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</si>
  <si>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</si>
  <si>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</si>
  <si>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</si>
  <si>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</si>
  <si>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</si>
  <si>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</si>
  <si>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</si>
  <si>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</si>
  <si>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</si>
  <si>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</si>
  <si>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</si>
  <si>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</si>
  <si>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</si>
  <si>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</si>
  <si>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</si>
  <si>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</si>
  <si>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</si>
  <si>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</si>
  <si>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</si>
  <si>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</si>
  <si>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</si>
  <si>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</si>
  <si>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</si>
  <si>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</si>
  <si>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</si>
  <si>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</si>
  <si>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</si>
  <si>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</si>
  <si>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</si>
  <si>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</si>
  <si>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</si>
  <si>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</si>
  <si>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</si>
  <si>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</si>
  <si>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</si>
  <si>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</si>
  <si>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</si>
  <si>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</si>
  <si>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</si>
  <si>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</si>
  <si>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</si>
  <si>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</si>
  <si>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</si>
  <si>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</si>
  <si>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</si>
  <si>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</si>
  <si>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</si>
  <si>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</si>
  <si>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</si>
  <si>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</si>
  <si>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</si>
  <si>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</si>
  <si>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</si>
  <si>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</si>
  <si>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</si>
  <si>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</si>
  <si>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</si>
  <si>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</si>
  <si>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</si>
  <si>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</si>
  <si>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</si>
  <si>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</si>
  <si>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</si>
  <si>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</si>
  <si>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</si>
  <si>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</si>
  <si>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</si>
  <si>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</si>
  <si>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</si>
  <si>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</si>
  <si>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</si>
  <si>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</si>
  <si>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</si>
  <si>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</si>
  <si>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</si>
  <si>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</si>
  <si>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</si>
  <si>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</si>
  <si>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</si>
  <si>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</si>
  <si>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</si>
  <si>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</si>
  <si>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</si>
  <si>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</si>
  <si>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</si>
  <si>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</si>
  <si>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</si>
  <si>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</si>
  <si>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</si>
  <si>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</si>
  <si>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</si>
  <si>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</si>
  <si>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</si>
  <si>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</si>
  <si>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</si>
  <si>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</si>
  <si>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</si>
  <si>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</si>
  <si>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</si>
  <si>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</si>
  <si>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</si>
  <si>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</si>
  <si>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</si>
  <si>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</si>
  <si>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</si>
  <si>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刀子攻擊距離增加{0}</t>
    <phoneticPr fontId="1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</si>
  <si>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</si>
  <si>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</si>
  <si>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</si>
  <si>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刀子攻擊有{0}機率朝前方發出額外斬擊</t>
    <phoneticPr fontId="1" type="noConversion"/>
  </si>
  <si>
    <t>使用刀子殺死敵方怪物最大生命成長{0}</t>
    <phoneticPr fontId="1" type="noConversion"/>
  </si>
  <si>
    <t>使用刀子擊殺燃燒的怪物有{0}機率產生範圍的火焰爆炸，使敵人燃燒</t>
    <phoneticPr fontId="1" type="noConversion"/>
  </si>
  <si>
    <t>使用刀子擊殺中毒的怪物有{0}機率產生範圍的毒氣爆炸，使敵人中毒</t>
    <phoneticPr fontId="1" type="noConversion"/>
  </si>
  <si>
    <t>使用刀子擊殺冰凍的怪物有{0}機率產生範圍的冰霜爆炸，使敵人冰凍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</si>
  <si>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</si>
  <si>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</si>
  <si>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受到致命傷害時有{0}機率不死且立即恢復50%護盾</t>
    <phoneticPr fontId="1" type="noConversion"/>
  </si>
  <si>
    <t>護盾存在時受到元素傷害有{0}機率不會受元素狀態影響</t>
    <phoneticPr fontId="1" type="noConversion"/>
  </si>
  <si>
    <t>護盾存在時被近戰攻擊時反彈{0}受到傷害</t>
    <phoneticPr fontId="1" type="noConversion"/>
  </si>
  <si>
    <t>受到元素負面效果(火/冰/毒)時恢復護盾{0}</t>
    <phoneticPr fontId="1" type="noConversion"/>
  </si>
  <si>
    <t>衝刺時增加刀子攻擊傷害{0}</t>
    <phoneticPr fontId="1" type="noConversion"/>
  </si>
  <si>
    <t>衝刺時使用刀子有{}機率擊殺敵人可造成範圍暈眩衝擊波</t>
    <phoneticPr fontId="1" type="noConversion"/>
  </si>
  <si>
    <t>衝刺後移動速度上升{0}</t>
    <phoneticPr fontId="1" type="noConversion"/>
  </si>
  <si>
    <t>衝刺時有{0}機率回彈敵方子彈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</si>
  <si>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</si>
  <si>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</si>
  <si>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</si>
  <si>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</si>
  <si>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獲得藥水時有{0}機率獲得額外擊殺怪物掉落的金幣</t>
    <phoneticPr fontId="1" type="noConversion"/>
  </si>
  <si>
    <t>喝下藥水後有{0}機率移動速度上升50</t>
    <phoneticPr fontId="1" type="noConversion"/>
  </si>
  <si>
    <t>喝下藥水後有{0}機率移動速度上升50</t>
    <phoneticPr fontId="1" type="noConversion"/>
  </si>
  <si>
    <t>血量全滿時喝下回血藥水，獲得等同{0}回復量的金錢</t>
    <phoneticPr fontId="1" type="noConversion"/>
  </si>
  <si>
    <t>增加自動吸引藥水距離{0}</t>
    <phoneticPr fontId="1" type="noConversion"/>
  </si>
  <si>
    <t>解除勇者狀態時向四周發射飛針，造成{0}刀子傷害</t>
    <phoneticPr fontId="1" type="noConversion"/>
  </si>
  <si>
    <t>延長變回史萊姆時的無敵時間{0}</t>
    <phoneticPr fontId="1" type="noConversion"/>
  </si>
  <si>
    <t>增加變回史萊姆時的移動速度(跳躍的CD減少{0})</t>
    <phoneticPr fontId="1" type="noConversion"/>
  </si>
  <si>
    <t>使用史萊姆狀態衝撞城門{0}機率獲得額外金幣</t>
    <phoneticPr fontId="1" type="noConversion"/>
  </si>
  <si>
    <t>使用史萊姆狀態衝撞城門有{0}機率重變回英雄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</si>
  <si>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</si>
  <si>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</si>
  <si>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怪物技能攻擊週期時間減少{0}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</si>
  <si>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</si>
  <si>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</si>
  <si>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每多一隻怪物靈魂，減少{0}近戰傷害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</si>
  <si>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</si>
  <si>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</si>
  <si>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</si>
  <si>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中毒時減少{0}降低的傷害量</t>
    <phoneticPr fontId="1" type="noConversion"/>
  </si>
  <si>
    <t>暈眩時受到傷害降低{0}</t>
    <phoneticPr fontId="1" type="noConversion"/>
  </si>
  <si>
    <t>中毒時移動速度上升{0}</t>
    <phoneticPr fontId="1" type="noConversion"/>
  </si>
  <si>
    <t>來自移動反方向的傷害降低{0}%</t>
    <phoneticPr fontId="1" type="noConversion"/>
  </si>
  <si>
    <t>連續對同樣目標進行3次攻擊後，第3下攻擊造成造成額外{0}刀子傷害</t>
    <phoneticPr fontId="1" type="noConversion"/>
  </si>
  <si>
    <t>每撞破一個城門增加{0}%結算獲得金錢</t>
    <phoneticPr fontId="1" type="noConversion"/>
  </si>
  <si>
    <t>每10秒恢復{0}血量</t>
    <phoneticPr fontId="1" type="noConversion"/>
  </si>
  <si>
    <t>當護盾破碎時{0}秒，只會受到傷害50%傷害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</si>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</sst>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2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scheme val="minor"/>
    </font>
    <font>
      <sz val="12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5" fillId="0" borderId="0" xfId="0" applyFont="1"/>
    <xf numFmtId="0" fontId="6" fillId="0" borderId="0" xfId="0" applyFont="1" applyAlignment="1">
      <alignment vertical="center"/>
    </xf>
    <xf numFmtId="14" fontId="0" fillId="0" borderId="0" xfId="0" applyNumberFormat="1"/>
    <xf numFmtId="0" fontId="7" fillId="0" borderId="0" xfId="0" applyFont="1" applyAlignment="1">
      <alignment vertical="center"/>
    </xf>
    <xf numFmtId="0" fontId="7" fillId="0" borderId="0" xfId="0" applyFont="1"/>
    <xf numFmtId="0" fontId="8" fillId="0" borderId="0" xfId="0" applyFont="1"/>
    <xf numFmtId="0" fontId="4" fillId="4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0" sqref="C10"/>
    </sheetView>
  </sheetViews>
  <sheetFormatPr defaultRowHeight="16.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126</v>
      </c>
      <c r="M2" s="7" t="s">
        <v>127</v>
      </c>
    </row>
    <row r="3" spans="1:13">
      <c r="A3">
        <v>1</v>
      </c>
      <c r="B3" t="s">
        <v>123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>
      <c r="A4">
        <v>2</v>
      </c>
      <c r="B4" t="s">
        <v>124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>
      <c r="A5">
        <v>3</v>
      </c>
      <c r="B5" t="s">
        <v>122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>
      <c r="A8">
        <v>6</v>
      </c>
      <c r="B8" t="s">
        <v>120</v>
      </c>
      <c r="C8" s="2" t="s">
        <v>121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>
      <c r="A9">
        <v>7</v>
      </c>
      <c r="B9" t="s">
        <v>119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>
      <c r="A10">
        <v>8</v>
      </c>
      <c r="B10" t="s">
        <v>118</v>
      </c>
      <c r="C10" s="2" t="s">
        <v>130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>
      <c r="A11">
        <v>9</v>
      </c>
      <c r="B11" t="s">
        <v>112</v>
      </c>
      <c r="C11" s="2" t="s">
        <v>125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67"/>
  <sheetViews>
    <sheetView tabSelected="1" topLeftCell="A31" zoomScale="85" zoomScaleNormal="85" workbookViewId="0">
      <selection activeCell="J57" sqref="J57"/>
    </sheetView>
  </sheetViews>
  <sheetFormatPr defaultRowHeight="16.5"/>
  <cols>
    <col min="1" max="1" width="9" customWidth="1"/>
    <col min="2" max="2" width="17.625" customWidth="1"/>
    <col min="3" max="3" width="27.25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4" s="7" customFormat="1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15" t="s">
        <v>99</v>
      </c>
      <c r="I1" s="8" t="s">
        <v>95</v>
      </c>
      <c r="J1" s="8" t="s">
        <v>103</v>
      </c>
      <c r="K1" s="8" t="s">
        <v>24</v>
      </c>
    </row>
    <row r="2" spans="1:14" s="7" customFormat="1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15" t="s">
        <v>93</v>
      </c>
      <c r="I2" s="8" t="s">
        <v>94</v>
      </c>
      <c r="J2" s="8" t="s">
        <v>102</v>
      </c>
      <c r="K2" s="8" t="s">
        <v>15</v>
      </c>
      <c r="L2" s="7" t="s">
        <v>126</v>
      </c>
      <c r="M2" s="7" t="s">
        <v>129</v>
      </c>
      <c r="N2" s="7" t="s">
        <v>128</v>
      </c>
    </row>
    <row r="3" spans="1:14">
      <c r="A3">
        <v>1</v>
      </c>
      <c r="B3" s="4" t="s">
        <v>480</v>
      </c>
      <c r="C3" s="2" t="s">
        <v>98</v>
      </c>
      <c r="D3" t="s">
        <v>88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</row>
    <row r="4" spans="1:14">
      <c r="A4">
        <v>2</v>
      </c>
      <c r="B4" t="s">
        <v>101</v>
      </c>
      <c r="C4" s="2" t="s">
        <v>97</v>
      </c>
      <c r="D4" t="s">
        <v>115</v>
      </c>
      <c r="E4">
        <v>0.4</v>
      </c>
      <c r="F4">
        <v>0.4</v>
      </c>
      <c r="I4">
        <v>5</v>
      </c>
      <c r="J4">
        <v>3</v>
      </c>
      <c r="K4" t="s">
        <v>87</v>
      </c>
      <c r="L4">
        <f t="shared" ref="L4:L63" si="0">E4+F4*(J4-1)</f>
        <v>1.2000000000000002</v>
      </c>
      <c r="M4">
        <f t="shared" ref="M4:M63" si="1">(H4+(H4+I4*(J4-1)))*J4/2</f>
        <v>15</v>
      </c>
      <c r="N4">
        <f t="shared" ref="N4:N63" si="2">M4/10</f>
        <v>1.5</v>
      </c>
    </row>
    <row r="5" spans="1:14">
      <c r="A5">
        <v>3</v>
      </c>
      <c r="B5" s="4" t="s">
        <v>167</v>
      </c>
      <c r="C5" t="s">
        <v>100</v>
      </c>
      <c r="D5" t="s">
        <v>116</v>
      </c>
      <c r="E5">
        <v>0.04</v>
      </c>
      <c r="F5">
        <v>0.03</v>
      </c>
      <c r="G5" t="b">
        <v>1</v>
      </c>
      <c r="I5">
        <v>5</v>
      </c>
      <c r="J5">
        <v>3</v>
      </c>
      <c r="K5" t="s">
        <v>89</v>
      </c>
      <c r="L5">
        <f t="shared" si="0"/>
        <v>0.1</v>
      </c>
      <c r="M5">
        <f t="shared" si="1"/>
        <v>15</v>
      </c>
      <c r="N5">
        <f t="shared" si="2"/>
        <v>1.5</v>
      </c>
    </row>
    <row r="6" spans="1:14">
      <c r="A6">
        <v>4</v>
      </c>
      <c r="B6" s="4" t="s">
        <v>332</v>
      </c>
      <c r="C6" s="4" t="s">
        <v>96</v>
      </c>
      <c r="D6" t="s">
        <v>117</v>
      </c>
      <c r="E6">
        <v>3</v>
      </c>
      <c r="F6">
        <v>2</v>
      </c>
      <c r="I6">
        <v>5</v>
      </c>
      <c r="J6">
        <v>3</v>
      </c>
      <c r="K6" t="s">
        <v>90</v>
      </c>
      <c r="L6">
        <f t="shared" si="0"/>
        <v>7</v>
      </c>
      <c r="M6">
        <f t="shared" si="1"/>
        <v>15</v>
      </c>
      <c r="N6">
        <f t="shared" si="2"/>
        <v>1.5</v>
      </c>
    </row>
    <row r="7" spans="1:14">
      <c r="A7">
        <v>5</v>
      </c>
      <c r="B7" t="s">
        <v>178</v>
      </c>
      <c r="C7" t="s">
        <v>144</v>
      </c>
      <c r="D7" t="s">
        <v>483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483</v>
      </c>
      <c r="L7">
        <f t="shared" si="0"/>
        <v>0.2</v>
      </c>
      <c r="M7">
        <f t="shared" si="1"/>
        <v>15</v>
      </c>
      <c r="N7">
        <f t="shared" si="2"/>
        <v>1.5</v>
      </c>
    </row>
    <row r="8" spans="1:14">
      <c r="A8">
        <v>6</v>
      </c>
      <c r="B8" t="s">
        <v>179</v>
      </c>
      <c r="C8" t="s">
        <v>145</v>
      </c>
      <c r="D8" t="s">
        <v>482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482</v>
      </c>
      <c r="L8">
        <f t="shared" si="0"/>
        <v>0.2</v>
      </c>
      <c r="M8">
        <f t="shared" si="1"/>
        <v>15</v>
      </c>
      <c r="N8">
        <f t="shared" si="2"/>
        <v>1.5</v>
      </c>
    </row>
    <row r="9" spans="1:14">
      <c r="A9">
        <v>7</v>
      </c>
      <c r="B9" t="s">
        <v>180</v>
      </c>
      <c r="C9" t="s">
        <v>146</v>
      </c>
      <c r="D9" t="s">
        <v>484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484</v>
      </c>
      <c r="L9">
        <f t="shared" si="0"/>
        <v>0.2</v>
      </c>
      <c r="M9">
        <f t="shared" si="1"/>
        <v>15</v>
      </c>
      <c r="N9">
        <f t="shared" si="2"/>
        <v>1.5</v>
      </c>
    </row>
    <row r="10" spans="1:14">
      <c r="A10">
        <v>8</v>
      </c>
      <c r="B10" t="s">
        <v>172</v>
      </c>
      <c r="C10" t="s">
        <v>374</v>
      </c>
      <c r="D10" t="s">
        <v>411</v>
      </c>
      <c r="E10">
        <v>0.1</v>
      </c>
      <c r="F10">
        <v>0.05</v>
      </c>
      <c r="G10" t="b">
        <v>1</v>
      </c>
      <c r="I10">
        <v>5</v>
      </c>
      <c r="J10">
        <v>3</v>
      </c>
      <c r="K10" t="s">
        <v>411</v>
      </c>
      <c r="L10">
        <f t="shared" si="0"/>
        <v>0.2</v>
      </c>
      <c r="M10">
        <f t="shared" si="1"/>
        <v>15</v>
      </c>
      <c r="N10">
        <f t="shared" si="2"/>
        <v>1.5</v>
      </c>
    </row>
    <row r="11" spans="1:14">
      <c r="A11">
        <v>9</v>
      </c>
      <c r="B11" t="s">
        <v>181</v>
      </c>
      <c r="C11" t="s">
        <v>481</v>
      </c>
      <c r="D11" t="s">
        <v>412</v>
      </c>
      <c r="E11">
        <v>0.1</v>
      </c>
      <c r="F11">
        <v>0.05</v>
      </c>
      <c r="G11" t="b">
        <v>1</v>
      </c>
      <c r="I11">
        <v>5</v>
      </c>
      <c r="J11">
        <v>3</v>
      </c>
      <c r="K11" t="s">
        <v>412</v>
      </c>
      <c r="L11">
        <f t="shared" si="0"/>
        <v>0.2</v>
      </c>
      <c r="M11">
        <f t="shared" si="1"/>
        <v>15</v>
      </c>
      <c r="N11">
        <f t="shared" si="2"/>
        <v>1.5</v>
      </c>
    </row>
    <row r="12" spans="1:14">
      <c r="A12">
        <v>10</v>
      </c>
      <c r="B12" t="s">
        <v>182</v>
      </c>
      <c r="C12" t="s">
        <v>485</v>
      </c>
      <c r="D12" t="s">
        <v>533</v>
      </c>
      <c r="E12">
        <v>0.1</v>
      </c>
      <c r="F12">
        <v>0.05</v>
      </c>
      <c r="G12" t="b">
        <v>1</v>
      </c>
      <c r="I12">
        <v>5</v>
      </c>
      <c r="J12">
        <v>3</v>
      </c>
      <c r="K12" t="s">
        <v>413</v>
      </c>
      <c r="L12">
        <f t="shared" si="0"/>
        <v>0.2</v>
      </c>
      <c r="M12">
        <f t="shared" si="1"/>
        <v>15</v>
      </c>
      <c r="N12">
        <f t="shared" si="2"/>
        <v>1.5</v>
      </c>
    </row>
    <row r="13" spans="1:14">
      <c r="A13">
        <v>11</v>
      </c>
      <c r="B13" t="s">
        <v>378</v>
      </c>
      <c r="C13" t="s">
        <v>486</v>
      </c>
      <c r="D13" t="s">
        <v>414</v>
      </c>
      <c r="E13">
        <v>0.01</v>
      </c>
      <c r="F13">
        <v>0.01</v>
      </c>
      <c r="G13" t="b">
        <v>1</v>
      </c>
      <c r="I13">
        <v>5</v>
      </c>
      <c r="J13">
        <v>3</v>
      </c>
      <c r="K13" t="s">
        <v>414</v>
      </c>
      <c r="L13">
        <f t="shared" si="0"/>
        <v>0.03</v>
      </c>
      <c r="M13">
        <f t="shared" si="1"/>
        <v>15</v>
      </c>
      <c r="N13">
        <f t="shared" si="2"/>
        <v>1.5</v>
      </c>
    </row>
    <row r="14" spans="1:14">
      <c r="A14">
        <v>12</v>
      </c>
      <c r="B14" t="s">
        <v>327</v>
      </c>
      <c r="C14" t="s">
        <v>487</v>
      </c>
      <c r="D14" t="s">
        <v>415</v>
      </c>
      <c r="E14">
        <v>0.5</v>
      </c>
      <c r="F14">
        <v>0.25</v>
      </c>
      <c r="G14" t="b">
        <v>1</v>
      </c>
      <c r="I14">
        <v>5</v>
      </c>
      <c r="J14">
        <v>3</v>
      </c>
      <c r="K14" t="s">
        <v>415</v>
      </c>
      <c r="L14">
        <f t="shared" si="0"/>
        <v>1</v>
      </c>
      <c r="M14">
        <f t="shared" si="1"/>
        <v>15</v>
      </c>
      <c r="N14">
        <f t="shared" si="2"/>
        <v>1.5</v>
      </c>
    </row>
    <row r="15" spans="1:14">
      <c r="A15">
        <v>13</v>
      </c>
      <c r="B15" t="s">
        <v>328</v>
      </c>
      <c r="C15" t="s">
        <v>488</v>
      </c>
      <c r="D15" t="s">
        <v>416</v>
      </c>
      <c r="E15">
        <v>0.5</v>
      </c>
      <c r="F15">
        <v>0.25</v>
      </c>
      <c r="G15" t="b">
        <v>1</v>
      </c>
      <c r="I15">
        <v>5</v>
      </c>
      <c r="J15">
        <v>3</v>
      </c>
      <c r="K15" t="s">
        <v>416</v>
      </c>
      <c r="L15">
        <f t="shared" si="0"/>
        <v>1</v>
      </c>
      <c r="M15">
        <f t="shared" si="1"/>
        <v>15</v>
      </c>
      <c r="N15">
        <f t="shared" si="2"/>
        <v>1.5</v>
      </c>
    </row>
    <row r="16" spans="1:14">
      <c r="A16">
        <v>14</v>
      </c>
      <c r="B16" t="s">
        <v>329</v>
      </c>
      <c r="C16" t="s">
        <v>489</v>
      </c>
      <c r="D16" t="s">
        <v>417</v>
      </c>
      <c r="E16">
        <v>0.5</v>
      </c>
      <c r="F16">
        <v>0.25</v>
      </c>
      <c r="G16" t="b">
        <v>1</v>
      </c>
      <c r="I16">
        <v>5</v>
      </c>
      <c r="J16">
        <v>3</v>
      </c>
      <c r="K16" t="s">
        <v>417</v>
      </c>
      <c r="L16">
        <f t="shared" si="0"/>
        <v>1</v>
      </c>
      <c r="M16">
        <f t="shared" si="1"/>
        <v>15</v>
      </c>
      <c r="N16">
        <f t="shared" si="2"/>
        <v>1.5</v>
      </c>
    </row>
    <row r="17" spans="1:15">
      <c r="A17">
        <v>15</v>
      </c>
      <c r="B17" t="s">
        <v>330</v>
      </c>
      <c r="C17" t="s">
        <v>490</v>
      </c>
      <c r="D17" t="s">
        <v>418</v>
      </c>
      <c r="E17">
        <v>0.2</v>
      </c>
      <c r="F17">
        <v>0.2</v>
      </c>
      <c r="G17" t="b">
        <v>1</v>
      </c>
      <c r="I17">
        <v>5</v>
      </c>
      <c r="J17">
        <v>3</v>
      </c>
      <c r="K17" t="s">
        <v>418</v>
      </c>
      <c r="L17">
        <f t="shared" si="0"/>
        <v>0.60000000000000009</v>
      </c>
      <c r="M17">
        <f t="shared" si="1"/>
        <v>15</v>
      </c>
      <c r="N17">
        <f t="shared" si="2"/>
        <v>1.5</v>
      </c>
    </row>
    <row r="18" spans="1:15">
      <c r="A18">
        <v>16</v>
      </c>
      <c r="B18" t="s">
        <v>174</v>
      </c>
      <c r="C18" t="s">
        <v>491</v>
      </c>
      <c r="D18" t="s">
        <v>419</v>
      </c>
      <c r="E18">
        <v>0.05</v>
      </c>
      <c r="F18">
        <v>0.05</v>
      </c>
      <c r="G18" t="b">
        <v>1</v>
      </c>
      <c r="I18">
        <v>5</v>
      </c>
      <c r="J18">
        <v>3</v>
      </c>
      <c r="K18" t="s">
        <v>419</v>
      </c>
      <c r="L18">
        <f t="shared" si="0"/>
        <v>0.15000000000000002</v>
      </c>
      <c r="M18">
        <f t="shared" si="1"/>
        <v>15</v>
      </c>
      <c r="N18">
        <f t="shared" si="2"/>
        <v>1.5</v>
      </c>
    </row>
    <row r="19" spans="1:15">
      <c r="A19">
        <v>17</v>
      </c>
      <c r="B19" t="s">
        <v>385</v>
      </c>
      <c r="C19" t="s">
        <v>492</v>
      </c>
      <c r="D19" t="s">
        <v>420</v>
      </c>
      <c r="E19">
        <v>0.05</v>
      </c>
      <c r="F19">
        <v>0.05</v>
      </c>
      <c r="G19" t="b">
        <v>1</v>
      </c>
      <c r="I19">
        <v>5</v>
      </c>
      <c r="J19">
        <v>3</v>
      </c>
      <c r="K19" t="s">
        <v>420</v>
      </c>
      <c r="L19">
        <f t="shared" si="0"/>
        <v>0.15000000000000002</v>
      </c>
      <c r="M19">
        <f t="shared" si="1"/>
        <v>15</v>
      </c>
      <c r="N19">
        <f t="shared" si="2"/>
        <v>1.5</v>
      </c>
    </row>
    <row r="20" spans="1:15">
      <c r="A20">
        <v>18</v>
      </c>
      <c r="B20" t="s">
        <v>421</v>
      </c>
      <c r="C20" t="s">
        <v>493</v>
      </c>
      <c r="D20" t="s">
        <v>422</v>
      </c>
      <c r="E20">
        <v>0.5</v>
      </c>
      <c r="F20">
        <v>0.25</v>
      </c>
      <c r="G20" t="b">
        <v>1</v>
      </c>
      <c r="I20">
        <v>5</v>
      </c>
      <c r="J20">
        <v>3</v>
      </c>
      <c r="K20" t="s">
        <v>422</v>
      </c>
      <c r="L20">
        <f t="shared" si="0"/>
        <v>1</v>
      </c>
      <c r="M20">
        <f t="shared" si="1"/>
        <v>15</v>
      </c>
      <c r="N20">
        <f t="shared" si="2"/>
        <v>1.5</v>
      </c>
    </row>
    <row r="21" spans="1:15">
      <c r="A21">
        <v>19</v>
      </c>
      <c r="B21" t="s">
        <v>331</v>
      </c>
      <c r="C21" t="s">
        <v>494</v>
      </c>
      <c r="D21" t="s">
        <v>423</v>
      </c>
      <c r="E21">
        <v>0.1</v>
      </c>
      <c r="F21">
        <v>0.1</v>
      </c>
      <c r="G21" t="b">
        <v>1</v>
      </c>
      <c r="I21">
        <v>5</v>
      </c>
      <c r="J21">
        <v>3</v>
      </c>
      <c r="K21" t="s">
        <v>423</v>
      </c>
      <c r="L21">
        <f t="shared" si="0"/>
        <v>0.30000000000000004</v>
      </c>
      <c r="M21">
        <f t="shared" si="1"/>
        <v>15</v>
      </c>
      <c r="N21">
        <f t="shared" si="2"/>
        <v>1.5</v>
      </c>
    </row>
    <row r="22" spans="1:15">
      <c r="A22">
        <v>20</v>
      </c>
      <c r="B22" t="s">
        <v>424</v>
      </c>
      <c r="C22" t="s">
        <v>495</v>
      </c>
      <c r="D22" t="s">
        <v>426</v>
      </c>
      <c r="E22">
        <v>0.1</v>
      </c>
      <c r="F22">
        <v>0.05</v>
      </c>
      <c r="G22" t="b">
        <v>1</v>
      </c>
      <c r="I22">
        <v>5</v>
      </c>
      <c r="J22">
        <v>3</v>
      </c>
      <c r="K22" t="s">
        <v>426</v>
      </c>
      <c r="L22">
        <f t="shared" si="0"/>
        <v>0.2</v>
      </c>
      <c r="M22">
        <f t="shared" si="1"/>
        <v>15</v>
      </c>
      <c r="N22">
        <f t="shared" si="2"/>
        <v>1.5</v>
      </c>
      <c r="O22" s="11"/>
    </row>
    <row r="23" spans="1:15">
      <c r="A23">
        <v>21</v>
      </c>
      <c r="B23" t="s">
        <v>185</v>
      </c>
      <c r="C23" t="s">
        <v>496</v>
      </c>
      <c r="D23" t="s">
        <v>428</v>
      </c>
      <c r="E23">
        <v>0.1</v>
      </c>
      <c r="F23">
        <v>0.05</v>
      </c>
      <c r="G23" t="b">
        <v>1</v>
      </c>
      <c r="I23">
        <v>5</v>
      </c>
      <c r="J23">
        <v>3</v>
      </c>
      <c r="K23" t="s">
        <v>428</v>
      </c>
      <c r="L23">
        <f t="shared" si="0"/>
        <v>0.2</v>
      </c>
      <c r="M23">
        <f t="shared" si="1"/>
        <v>15</v>
      </c>
      <c r="N23">
        <f t="shared" si="2"/>
        <v>1.5</v>
      </c>
    </row>
    <row r="24" spans="1:15">
      <c r="A24">
        <v>22</v>
      </c>
      <c r="B24" t="s">
        <v>186</v>
      </c>
      <c r="C24" t="s">
        <v>497</v>
      </c>
      <c r="D24" t="s">
        <v>427</v>
      </c>
      <c r="E24">
        <v>0.2</v>
      </c>
      <c r="F24">
        <v>0.2</v>
      </c>
      <c r="G24" t="b">
        <v>1</v>
      </c>
      <c r="I24">
        <v>5</v>
      </c>
      <c r="J24">
        <v>3</v>
      </c>
      <c r="K24" t="s">
        <v>427</v>
      </c>
      <c r="L24">
        <f t="shared" si="0"/>
        <v>0.60000000000000009</v>
      </c>
      <c r="M24">
        <f t="shared" si="1"/>
        <v>15</v>
      </c>
      <c r="N24">
        <f t="shared" si="2"/>
        <v>1.5</v>
      </c>
    </row>
    <row r="25" spans="1:15">
      <c r="A25">
        <v>23</v>
      </c>
      <c r="B25" t="s">
        <v>429</v>
      </c>
      <c r="C25" t="s">
        <v>498</v>
      </c>
      <c r="D25" t="s">
        <v>430</v>
      </c>
      <c r="E25">
        <v>10</v>
      </c>
      <c r="F25">
        <v>5</v>
      </c>
      <c r="G25" t="b">
        <v>1</v>
      </c>
      <c r="I25">
        <v>5</v>
      </c>
      <c r="J25">
        <v>3</v>
      </c>
      <c r="K25" t="s">
        <v>430</v>
      </c>
      <c r="L25">
        <f t="shared" si="0"/>
        <v>20</v>
      </c>
      <c r="M25">
        <f t="shared" si="1"/>
        <v>15</v>
      </c>
      <c r="N25">
        <f t="shared" si="2"/>
        <v>1.5</v>
      </c>
    </row>
    <row r="26" spans="1:15">
      <c r="A26">
        <v>24</v>
      </c>
      <c r="B26" t="s">
        <v>431</v>
      </c>
      <c r="C26" t="s">
        <v>499</v>
      </c>
      <c r="D26" t="s">
        <v>432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432</v>
      </c>
      <c r="L26">
        <f t="shared" si="0"/>
        <v>1</v>
      </c>
      <c r="M26">
        <f t="shared" si="1"/>
        <v>15</v>
      </c>
      <c r="N26">
        <f t="shared" si="2"/>
        <v>1.5</v>
      </c>
    </row>
    <row r="27" spans="1:15">
      <c r="A27">
        <v>25</v>
      </c>
      <c r="B27" t="s">
        <v>335</v>
      </c>
      <c r="C27" t="s">
        <v>500</v>
      </c>
      <c r="D27" t="s">
        <v>433</v>
      </c>
      <c r="E27">
        <v>0.2</v>
      </c>
      <c r="F27">
        <v>0.1</v>
      </c>
      <c r="G27" t="b">
        <v>1</v>
      </c>
      <c r="I27">
        <v>5</v>
      </c>
      <c r="J27">
        <v>3</v>
      </c>
      <c r="K27" t="s">
        <v>433</v>
      </c>
      <c r="L27">
        <f t="shared" si="0"/>
        <v>0.4</v>
      </c>
      <c r="M27">
        <f t="shared" si="1"/>
        <v>15</v>
      </c>
      <c r="N27">
        <f t="shared" si="2"/>
        <v>1.5</v>
      </c>
    </row>
    <row r="28" spans="1:15">
      <c r="A28">
        <v>26</v>
      </c>
      <c r="B28" t="s">
        <v>402</v>
      </c>
      <c r="C28" t="s">
        <v>501</v>
      </c>
      <c r="D28" t="s">
        <v>434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434</v>
      </c>
      <c r="L28">
        <f t="shared" si="0"/>
        <v>1</v>
      </c>
      <c r="M28">
        <f t="shared" si="1"/>
        <v>15</v>
      </c>
      <c r="N28">
        <f t="shared" si="2"/>
        <v>1.5</v>
      </c>
    </row>
    <row r="29" spans="1:15">
      <c r="A29">
        <v>27</v>
      </c>
      <c r="B29" t="s">
        <v>403</v>
      </c>
      <c r="C29" t="s">
        <v>502</v>
      </c>
      <c r="D29" t="s">
        <v>435</v>
      </c>
      <c r="E29">
        <v>0.5</v>
      </c>
      <c r="F29">
        <v>0.5</v>
      </c>
      <c r="I29">
        <v>5</v>
      </c>
      <c r="J29">
        <v>3</v>
      </c>
      <c r="K29" t="s">
        <v>435</v>
      </c>
      <c r="L29">
        <f t="shared" si="0"/>
        <v>1.5</v>
      </c>
      <c r="M29">
        <f t="shared" si="1"/>
        <v>15</v>
      </c>
      <c r="N29">
        <f t="shared" si="2"/>
        <v>1.5</v>
      </c>
    </row>
    <row r="30" spans="1:15">
      <c r="A30">
        <v>28</v>
      </c>
      <c r="B30" t="s">
        <v>405</v>
      </c>
      <c r="C30" t="s">
        <v>503</v>
      </c>
      <c r="D30" t="s">
        <v>436</v>
      </c>
      <c r="E30">
        <v>2</v>
      </c>
      <c r="F30">
        <v>1</v>
      </c>
      <c r="I30">
        <v>5</v>
      </c>
      <c r="J30">
        <v>3</v>
      </c>
      <c r="K30" t="s">
        <v>436</v>
      </c>
      <c r="L30">
        <f t="shared" si="0"/>
        <v>4</v>
      </c>
      <c r="M30">
        <f t="shared" si="1"/>
        <v>15</v>
      </c>
      <c r="N30">
        <f t="shared" si="2"/>
        <v>1.5</v>
      </c>
    </row>
    <row r="31" spans="1:15">
      <c r="A31">
        <v>29</v>
      </c>
      <c r="B31" t="s">
        <v>406</v>
      </c>
      <c r="C31" t="s">
        <v>506</v>
      </c>
      <c r="D31" t="s">
        <v>437</v>
      </c>
      <c r="E31">
        <v>0.5</v>
      </c>
      <c r="F31">
        <v>0.25</v>
      </c>
      <c r="G31" t="b">
        <v>1</v>
      </c>
      <c r="I31">
        <v>5</v>
      </c>
      <c r="J31">
        <v>3</v>
      </c>
      <c r="K31" t="s">
        <v>437</v>
      </c>
      <c r="L31">
        <f t="shared" si="0"/>
        <v>1</v>
      </c>
      <c r="M31">
        <f t="shared" si="1"/>
        <v>15</v>
      </c>
      <c r="N31">
        <f t="shared" si="2"/>
        <v>1.5</v>
      </c>
    </row>
    <row r="32" spans="1:15">
      <c r="A32">
        <v>30</v>
      </c>
      <c r="B32" t="s">
        <v>193</v>
      </c>
      <c r="C32" t="s">
        <v>504</v>
      </c>
      <c r="D32" t="s">
        <v>438</v>
      </c>
      <c r="E32">
        <v>0.1</v>
      </c>
      <c r="F32">
        <v>0.1</v>
      </c>
      <c r="G32" t="b">
        <v>1</v>
      </c>
      <c r="I32">
        <v>5</v>
      </c>
      <c r="J32">
        <v>3</v>
      </c>
      <c r="K32" t="s">
        <v>438</v>
      </c>
      <c r="L32">
        <f t="shared" si="0"/>
        <v>0.30000000000000004</v>
      </c>
      <c r="M32">
        <f t="shared" si="1"/>
        <v>15</v>
      </c>
      <c r="N32">
        <f t="shared" si="2"/>
        <v>1.5</v>
      </c>
    </row>
    <row r="33" spans="1:14">
      <c r="A33">
        <v>31</v>
      </c>
      <c r="B33" t="s">
        <v>173</v>
      </c>
      <c r="C33" t="s">
        <v>508</v>
      </c>
      <c r="D33" t="s">
        <v>439</v>
      </c>
      <c r="E33">
        <v>0.5</v>
      </c>
      <c r="F33">
        <v>0.25</v>
      </c>
      <c r="G33" t="b">
        <v>1</v>
      </c>
      <c r="I33">
        <v>5</v>
      </c>
      <c r="J33">
        <v>3</v>
      </c>
      <c r="K33" t="s">
        <v>439</v>
      </c>
      <c r="L33">
        <f t="shared" si="0"/>
        <v>1</v>
      </c>
      <c r="M33">
        <f t="shared" si="1"/>
        <v>15</v>
      </c>
      <c r="N33">
        <f t="shared" si="2"/>
        <v>1.5</v>
      </c>
    </row>
    <row r="34" spans="1:14">
      <c r="A34">
        <v>32</v>
      </c>
      <c r="B34" t="s">
        <v>336</v>
      </c>
      <c r="C34" t="s">
        <v>507</v>
      </c>
      <c r="D34" t="s">
        <v>440</v>
      </c>
      <c r="E34">
        <v>0.4</v>
      </c>
      <c r="F34">
        <v>0.3</v>
      </c>
      <c r="G34" t="b">
        <v>1</v>
      </c>
      <c r="I34">
        <v>5</v>
      </c>
      <c r="J34">
        <v>3</v>
      </c>
      <c r="K34" t="s">
        <v>440</v>
      </c>
      <c r="L34">
        <f t="shared" si="0"/>
        <v>1</v>
      </c>
      <c r="M34">
        <f t="shared" si="1"/>
        <v>15</v>
      </c>
      <c r="N34">
        <f t="shared" si="2"/>
        <v>1.5</v>
      </c>
    </row>
    <row r="35" spans="1:14">
      <c r="A35">
        <v>33</v>
      </c>
      <c r="B35" t="s">
        <v>194</v>
      </c>
      <c r="C35" t="s">
        <v>509</v>
      </c>
      <c r="D35" t="s">
        <v>441</v>
      </c>
      <c r="E35">
        <v>0.5</v>
      </c>
      <c r="F35">
        <v>25</v>
      </c>
      <c r="G35" t="b">
        <v>1</v>
      </c>
      <c r="I35">
        <v>5</v>
      </c>
      <c r="J35">
        <v>3</v>
      </c>
      <c r="K35" t="s">
        <v>441</v>
      </c>
      <c r="L35">
        <f t="shared" si="0"/>
        <v>50.5</v>
      </c>
      <c r="M35">
        <f t="shared" si="1"/>
        <v>15</v>
      </c>
      <c r="N35">
        <f t="shared" si="2"/>
        <v>1.5</v>
      </c>
    </row>
    <row r="36" spans="1:14">
      <c r="A36">
        <v>34</v>
      </c>
      <c r="B36" t="s">
        <v>442</v>
      </c>
      <c r="C36" t="s">
        <v>510</v>
      </c>
      <c r="D36" t="s">
        <v>443</v>
      </c>
      <c r="E36">
        <v>1</v>
      </c>
      <c r="F36">
        <v>0.5</v>
      </c>
      <c r="G36" t="b">
        <v>1</v>
      </c>
      <c r="I36">
        <v>5</v>
      </c>
      <c r="J36">
        <v>3</v>
      </c>
      <c r="K36" t="s">
        <v>443</v>
      </c>
      <c r="L36">
        <f t="shared" si="0"/>
        <v>2</v>
      </c>
      <c r="M36">
        <f t="shared" si="1"/>
        <v>15</v>
      </c>
      <c r="N36">
        <f t="shared" si="2"/>
        <v>1.5</v>
      </c>
    </row>
    <row r="37" spans="1:14">
      <c r="A37">
        <v>35</v>
      </c>
      <c r="B37" t="s">
        <v>196</v>
      </c>
      <c r="C37" t="s">
        <v>511</v>
      </c>
      <c r="D37" t="s">
        <v>444</v>
      </c>
      <c r="E37">
        <v>0.2</v>
      </c>
      <c r="F37">
        <v>0.15</v>
      </c>
      <c r="G37" t="b">
        <v>1</v>
      </c>
      <c r="I37">
        <v>5</v>
      </c>
      <c r="J37">
        <v>3</v>
      </c>
      <c r="K37" t="s">
        <v>444</v>
      </c>
      <c r="L37">
        <f t="shared" si="0"/>
        <v>0.5</v>
      </c>
      <c r="M37">
        <f t="shared" si="1"/>
        <v>15</v>
      </c>
      <c r="N37">
        <f t="shared" si="2"/>
        <v>1.5</v>
      </c>
    </row>
    <row r="38" spans="1:14">
      <c r="A38">
        <v>36</v>
      </c>
      <c r="B38" t="s">
        <v>397</v>
      </c>
      <c r="C38" t="s">
        <v>512</v>
      </c>
      <c r="D38" t="s">
        <v>445</v>
      </c>
      <c r="E38">
        <v>0.2</v>
      </c>
      <c r="F38">
        <v>0.15</v>
      </c>
      <c r="G38" t="b">
        <v>1</v>
      </c>
      <c r="I38">
        <v>5</v>
      </c>
      <c r="J38">
        <v>3</v>
      </c>
      <c r="K38" t="s">
        <v>445</v>
      </c>
      <c r="L38">
        <f t="shared" si="0"/>
        <v>0.5</v>
      </c>
      <c r="M38">
        <f t="shared" si="1"/>
        <v>15</v>
      </c>
      <c r="N38">
        <f t="shared" si="2"/>
        <v>1.5</v>
      </c>
    </row>
    <row r="39" spans="1:14">
      <c r="A39">
        <v>37</v>
      </c>
      <c r="B39" t="s">
        <v>399</v>
      </c>
      <c r="C39" t="s">
        <v>513</v>
      </c>
      <c r="D39" t="s">
        <v>446</v>
      </c>
      <c r="E39">
        <v>0.05</v>
      </c>
      <c r="F39">
        <v>0.05</v>
      </c>
      <c r="G39" t="b">
        <v>1</v>
      </c>
      <c r="I39">
        <v>5</v>
      </c>
      <c r="J39">
        <v>3</v>
      </c>
      <c r="K39" t="s">
        <v>446</v>
      </c>
      <c r="L39">
        <f t="shared" si="0"/>
        <v>0.15000000000000002</v>
      </c>
      <c r="M39">
        <f t="shared" si="1"/>
        <v>15</v>
      </c>
      <c r="N39">
        <f t="shared" si="2"/>
        <v>1.5</v>
      </c>
    </row>
    <row r="40" spans="1:14">
      <c r="A40">
        <v>38</v>
      </c>
      <c r="B40" t="s">
        <v>447</v>
      </c>
      <c r="C40" t="s">
        <v>514</v>
      </c>
      <c r="D40" t="s">
        <v>448</v>
      </c>
      <c r="E40">
        <v>2</v>
      </c>
      <c r="F40">
        <v>2</v>
      </c>
      <c r="I40">
        <v>5</v>
      </c>
      <c r="J40">
        <v>3</v>
      </c>
      <c r="K40" t="s">
        <v>448</v>
      </c>
      <c r="L40">
        <f t="shared" si="0"/>
        <v>6</v>
      </c>
      <c r="M40">
        <f t="shared" si="1"/>
        <v>15</v>
      </c>
      <c r="N40">
        <f t="shared" si="2"/>
        <v>1.5</v>
      </c>
    </row>
    <row r="41" spans="1:14">
      <c r="A41">
        <v>39</v>
      </c>
      <c r="B41" t="s">
        <v>338</v>
      </c>
      <c r="C41" t="s">
        <v>515</v>
      </c>
      <c r="D41" t="s">
        <v>449</v>
      </c>
      <c r="E41">
        <v>0.5</v>
      </c>
      <c r="F41">
        <v>0.25</v>
      </c>
      <c r="G41" t="b">
        <v>1</v>
      </c>
      <c r="I41">
        <v>5</v>
      </c>
      <c r="J41">
        <v>3</v>
      </c>
      <c r="K41" t="s">
        <v>449</v>
      </c>
      <c r="L41">
        <f t="shared" si="0"/>
        <v>1</v>
      </c>
      <c r="M41">
        <f t="shared" si="1"/>
        <v>15</v>
      </c>
      <c r="N41">
        <f t="shared" si="2"/>
        <v>1.5</v>
      </c>
    </row>
    <row r="42" spans="1:14">
      <c r="A42">
        <v>40</v>
      </c>
      <c r="B42" t="s">
        <v>450</v>
      </c>
      <c r="C42" t="s">
        <v>516</v>
      </c>
      <c r="D42" t="s">
        <v>451</v>
      </c>
      <c r="E42">
        <v>0.1</v>
      </c>
      <c r="F42">
        <v>0.1</v>
      </c>
      <c r="G42" t="b">
        <v>1</v>
      </c>
      <c r="I42">
        <v>5</v>
      </c>
      <c r="J42">
        <v>3</v>
      </c>
      <c r="K42" t="s">
        <v>451</v>
      </c>
      <c r="L42">
        <f t="shared" si="0"/>
        <v>0.30000000000000004</v>
      </c>
      <c r="M42">
        <f t="shared" si="1"/>
        <v>15</v>
      </c>
      <c r="N42">
        <f t="shared" si="2"/>
        <v>1.5</v>
      </c>
    </row>
    <row r="43" spans="1:14">
      <c r="A43">
        <v>41</v>
      </c>
      <c r="B43" t="s">
        <v>452</v>
      </c>
      <c r="C43" t="s">
        <v>517</v>
      </c>
      <c r="D43" t="s">
        <v>453</v>
      </c>
      <c r="E43">
        <v>0.2</v>
      </c>
      <c r="F43">
        <v>0.15</v>
      </c>
      <c r="G43" t="b">
        <v>1</v>
      </c>
      <c r="I43">
        <v>5</v>
      </c>
      <c r="J43">
        <v>3</v>
      </c>
      <c r="K43" t="s">
        <v>453</v>
      </c>
      <c r="L43">
        <f t="shared" si="0"/>
        <v>0.5</v>
      </c>
      <c r="M43">
        <f t="shared" si="1"/>
        <v>15</v>
      </c>
      <c r="N43">
        <f t="shared" si="2"/>
        <v>1.5</v>
      </c>
    </row>
    <row r="44" spans="1:14">
      <c r="A44">
        <v>42</v>
      </c>
      <c r="B44" t="s">
        <v>342</v>
      </c>
      <c r="C44" t="s">
        <v>518</v>
      </c>
      <c r="D44" t="s">
        <v>454</v>
      </c>
      <c r="E44">
        <v>0.4</v>
      </c>
      <c r="F44">
        <v>0.3</v>
      </c>
      <c r="G44" t="b">
        <v>1</v>
      </c>
      <c r="I44">
        <v>5</v>
      </c>
      <c r="J44">
        <v>3</v>
      </c>
      <c r="K44" t="s">
        <v>454</v>
      </c>
      <c r="L44">
        <f t="shared" si="0"/>
        <v>1</v>
      </c>
      <c r="M44">
        <f t="shared" si="1"/>
        <v>15</v>
      </c>
      <c r="N44">
        <f t="shared" si="2"/>
        <v>1.5</v>
      </c>
    </row>
    <row r="45" spans="1:14">
      <c r="A45">
        <v>43</v>
      </c>
      <c r="B45" t="s">
        <v>344</v>
      </c>
      <c r="C45" t="s">
        <v>519</v>
      </c>
      <c r="D45" t="s">
        <v>455</v>
      </c>
      <c r="E45">
        <v>0.4</v>
      </c>
      <c r="F45">
        <v>0.3</v>
      </c>
      <c r="G45" t="b">
        <v>1</v>
      </c>
      <c r="I45">
        <v>5</v>
      </c>
      <c r="J45">
        <v>3</v>
      </c>
      <c r="K45" t="s">
        <v>455</v>
      </c>
      <c r="L45">
        <f t="shared" si="0"/>
        <v>1</v>
      </c>
      <c r="M45">
        <f t="shared" si="1"/>
        <v>15</v>
      </c>
      <c r="N45">
        <f t="shared" si="2"/>
        <v>1.5</v>
      </c>
    </row>
    <row r="46" spans="1:14">
      <c r="A46">
        <v>44</v>
      </c>
      <c r="B46" t="s">
        <v>191</v>
      </c>
      <c r="C46" t="s">
        <v>520</v>
      </c>
      <c r="D46" t="s">
        <v>456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456</v>
      </c>
      <c r="L46">
        <f t="shared" si="0"/>
        <v>0.30000000000000004</v>
      </c>
      <c r="M46">
        <f t="shared" si="1"/>
        <v>15</v>
      </c>
      <c r="N46">
        <f t="shared" si="2"/>
        <v>1.5</v>
      </c>
    </row>
    <row r="47" spans="1:14">
      <c r="A47">
        <v>45</v>
      </c>
      <c r="B47" t="s">
        <v>347</v>
      </c>
      <c r="C47" t="s">
        <v>521</v>
      </c>
      <c r="D47" t="s">
        <v>459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459</v>
      </c>
      <c r="L47">
        <f t="shared" si="0"/>
        <v>0.30000000000000004</v>
      </c>
      <c r="M47">
        <f t="shared" si="1"/>
        <v>15</v>
      </c>
      <c r="N47">
        <f t="shared" si="2"/>
        <v>1.5</v>
      </c>
    </row>
    <row r="48" spans="1:14">
      <c r="A48">
        <v>46</v>
      </c>
      <c r="B48" t="s">
        <v>349</v>
      </c>
      <c r="C48" t="s">
        <v>522</v>
      </c>
      <c r="D48" t="s">
        <v>457</v>
      </c>
      <c r="E48">
        <v>0.1</v>
      </c>
      <c r="F48">
        <v>0.1</v>
      </c>
      <c r="G48" t="b">
        <v>1</v>
      </c>
      <c r="I48">
        <v>5</v>
      </c>
      <c r="J48">
        <v>3</v>
      </c>
      <c r="K48" t="s">
        <v>457</v>
      </c>
      <c r="L48">
        <f t="shared" si="0"/>
        <v>0.30000000000000004</v>
      </c>
      <c r="M48">
        <f t="shared" si="1"/>
        <v>15</v>
      </c>
      <c r="N48">
        <f t="shared" si="2"/>
        <v>1.5</v>
      </c>
    </row>
    <row r="49" spans="1:14">
      <c r="A49">
        <v>47</v>
      </c>
      <c r="B49" t="s">
        <v>351</v>
      </c>
      <c r="C49" t="s">
        <v>352</v>
      </c>
      <c r="D49" t="s">
        <v>460</v>
      </c>
      <c r="E49">
        <v>0.1</v>
      </c>
      <c r="F49">
        <v>0.1</v>
      </c>
      <c r="G49" t="b">
        <v>1</v>
      </c>
      <c r="I49">
        <v>5</v>
      </c>
      <c r="J49">
        <v>3</v>
      </c>
      <c r="K49" t="s">
        <v>460</v>
      </c>
      <c r="L49">
        <f t="shared" si="0"/>
        <v>0.30000000000000004</v>
      </c>
      <c r="M49">
        <f t="shared" si="1"/>
        <v>15</v>
      </c>
      <c r="N49">
        <f t="shared" si="2"/>
        <v>1.5</v>
      </c>
    </row>
    <row r="50" spans="1:14">
      <c r="A50">
        <v>48</v>
      </c>
      <c r="B50" t="s">
        <v>353</v>
      </c>
      <c r="C50" t="s">
        <v>523</v>
      </c>
      <c r="D50" t="s">
        <v>458</v>
      </c>
      <c r="E50">
        <v>0.1</v>
      </c>
      <c r="F50">
        <v>0.1</v>
      </c>
      <c r="G50" t="b">
        <v>1</v>
      </c>
      <c r="I50">
        <v>5</v>
      </c>
      <c r="J50">
        <v>3</v>
      </c>
      <c r="K50" t="s">
        <v>458</v>
      </c>
      <c r="L50">
        <f t="shared" si="0"/>
        <v>0.30000000000000004</v>
      </c>
      <c r="M50">
        <f t="shared" si="1"/>
        <v>15</v>
      </c>
      <c r="N50">
        <f t="shared" si="2"/>
        <v>1.5</v>
      </c>
    </row>
    <row r="51" spans="1:14">
      <c r="A51">
        <v>49</v>
      </c>
      <c r="B51" t="s">
        <v>461</v>
      </c>
      <c r="C51" t="s">
        <v>525</v>
      </c>
      <c r="D51" t="s">
        <v>462</v>
      </c>
      <c r="E51">
        <v>0.1</v>
      </c>
      <c r="F51">
        <v>0.1</v>
      </c>
      <c r="G51" t="b">
        <v>1</v>
      </c>
      <c r="I51">
        <v>5</v>
      </c>
      <c r="J51">
        <v>3</v>
      </c>
      <c r="K51" t="s">
        <v>462</v>
      </c>
      <c r="L51">
        <f t="shared" si="0"/>
        <v>0.30000000000000004</v>
      </c>
      <c r="M51">
        <f t="shared" si="1"/>
        <v>15</v>
      </c>
      <c r="N51">
        <f t="shared" si="2"/>
        <v>1.5</v>
      </c>
    </row>
    <row r="52" spans="1:14">
      <c r="A52">
        <v>50</v>
      </c>
      <c r="B52" t="s">
        <v>463</v>
      </c>
      <c r="C52" t="s">
        <v>524</v>
      </c>
      <c r="D52" t="s">
        <v>464</v>
      </c>
      <c r="E52">
        <v>0.2</v>
      </c>
      <c r="F52">
        <v>0.2</v>
      </c>
      <c r="G52" t="b">
        <v>1</v>
      </c>
      <c r="I52">
        <v>5</v>
      </c>
      <c r="J52">
        <v>3</v>
      </c>
      <c r="K52" t="s">
        <v>464</v>
      </c>
      <c r="L52">
        <f t="shared" si="0"/>
        <v>0.60000000000000009</v>
      </c>
      <c r="M52">
        <f t="shared" si="1"/>
        <v>15</v>
      </c>
      <c r="N52">
        <f t="shared" si="2"/>
        <v>1.5</v>
      </c>
    </row>
    <row r="53" spans="1:14">
      <c r="A53">
        <v>51</v>
      </c>
      <c r="B53" t="s">
        <v>465</v>
      </c>
      <c r="C53" t="s">
        <v>357</v>
      </c>
      <c r="D53" t="s">
        <v>466</v>
      </c>
      <c r="E53">
        <v>0.4</v>
      </c>
      <c r="F53">
        <v>0.3</v>
      </c>
      <c r="G53" t="b">
        <v>1</v>
      </c>
      <c r="I53">
        <v>5</v>
      </c>
      <c r="J53">
        <v>3</v>
      </c>
      <c r="K53" t="s">
        <v>466</v>
      </c>
      <c r="L53">
        <f t="shared" si="0"/>
        <v>1</v>
      </c>
      <c r="M53">
        <f t="shared" si="1"/>
        <v>15</v>
      </c>
      <c r="N53">
        <f t="shared" si="2"/>
        <v>1.5</v>
      </c>
    </row>
    <row r="54" spans="1:14">
      <c r="A54">
        <v>52</v>
      </c>
      <c r="B54" t="s">
        <v>358</v>
      </c>
      <c r="C54" t="s">
        <v>359</v>
      </c>
      <c r="D54" t="s">
        <v>467</v>
      </c>
      <c r="E54">
        <v>0.2</v>
      </c>
      <c r="F54">
        <v>0.2</v>
      </c>
      <c r="G54" t="b">
        <v>1</v>
      </c>
      <c r="I54">
        <v>5</v>
      </c>
      <c r="J54">
        <v>3</v>
      </c>
      <c r="K54" t="s">
        <v>467</v>
      </c>
      <c r="L54">
        <f t="shared" si="0"/>
        <v>0.60000000000000009</v>
      </c>
      <c r="M54">
        <f t="shared" si="1"/>
        <v>15</v>
      </c>
      <c r="N54">
        <f t="shared" si="2"/>
        <v>1.5</v>
      </c>
    </row>
    <row r="55" spans="1:14">
      <c r="A55">
        <v>53</v>
      </c>
      <c r="B55" t="s">
        <v>360</v>
      </c>
      <c r="C55" t="s">
        <v>361</v>
      </c>
      <c r="D55" t="s">
        <v>468</v>
      </c>
      <c r="E55">
        <v>1</v>
      </c>
      <c r="F55">
        <v>1</v>
      </c>
      <c r="I55">
        <v>5</v>
      </c>
      <c r="J55">
        <v>3</v>
      </c>
      <c r="K55" t="s">
        <v>468</v>
      </c>
      <c r="L55">
        <f t="shared" si="0"/>
        <v>3</v>
      </c>
      <c r="M55">
        <f t="shared" si="1"/>
        <v>15</v>
      </c>
      <c r="N55">
        <f t="shared" si="2"/>
        <v>1.5</v>
      </c>
    </row>
    <row r="56" spans="1:14">
      <c r="A56">
        <v>54</v>
      </c>
      <c r="B56" t="s">
        <v>469</v>
      </c>
      <c r="C56" t="s">
        <v>526</v>
      </c>
      <c r="D56" t="s">
        <v>470</v>
      </c>
      <c r="E56">
        <v>0.1</v>
      </c>
      <c r="F56">
        <v>0.1</v>
      </c>
      <c r="G56" t="b">
        <v>1</v>
      </c>
      <c r="I56">
        <v>5</v>
      </c>
      <c r="J56">
        <v>3</v>
      </c>
      <c r="K56" t="s">
        <v>470</v>
      </c>
      <c r="L56">
        <f t="shared" si="0"/>
        <v>0.30000000000000004</v>
      </c>
      <c r="M56">
        <f t="shared" si="1"/>
        <v>15</v>
      </c>
      <c r="N56">
        <f t="shared" si="2"/>
        <v>1.5</v>
      </c>
    </row>
    <row r="57" spans="1:14">
      <c r="A57">
        <v>55</v>
      </c>
      <c r="B57" t="s">
        <v>363</v>
      </c>
      <c r="C57" t="s">
        <v>527</v>
      </c>
      <c r="D57" t="s">
        <v>471</v>
      </c>
      <c r="E57">
        <v>0.4</v>
      </c>
      <c r="F57">
        <v>0.3</v>
      </c>
      <c r="G57" t="b">
        <v>1</v>
      </c>
      <c r="I57">
        <v>5</v>
      </c>
      <c r="J57">
        <v>3</v>
      </c>
      <c r="K57" t="s">
        <v>471</v>
      </c>
      <c r="L57">
        <f t="shared" si="0"/>
        <v>1</v>
      </c>
      <c r="M57">
        <f t="shared" si="1"/>
        <v>15</v>
      </c>
      <c r="N57">
        <f t="shared" si="2"/>
        <v>1.5</v>
      </c>
    </row>
    <row r="58" spans="1:14">
      <c r="A58">
        <v>56</v>
      </c>
      <c r="B58" t="s">
        <v>365</v>
      </c>
      <c r="C58" t="s">
        <v>366</v>
      </c>
      <c r="D58" t="s">
        <v>472</v>
      </c>
      <c r="E58">
        <v>0.8</v>
      </c>
      <c r="F58">
        <v>0.6</v>
      </c>
      <c r="G58" t="b">
        <v>1</v>
      </c>
      <c r="I58">
        <v>5</v>
      </c>
      <c r="J58">
        <v>3</v>
      </c>
      <c r="K58" t="s">
        <v>472</v>
      </c>
      <c r="L58">
        <f t="shared" si="0"/>
        <v>2</v>
      </c>
      <c r="M58">
        <f t="shared" si="1"/>
        <v>15</v>
      </c>
      <c r="N58">
        <f t="shared" si="2"/>
        <v>1.5</v>
      </c>
    </row>
    <row r="59" spans="1:14">
      <c r="A59">
        <v>57</v>
      </c>
      <c r="B59" t="s">
        <v>367</v>
      </c>
      <c r="C59" t="s">
        <v>528</v>
      </c>
      <c r="D59" t="s">
        <v>473</v>
      </c>
      <c r="E59">
        <v>0.5</v>
      </c>
      <c r="F59">
        <v>0.5</v>
      </c>
      <c r="G59" t="b">
        <v>1</v>
      </c>
      <c r="I59">
        <v>5</v>
      </c>
      <c r="J59">
        <v>3</v>
      </c>
      <c r="K59" t="s">
        <v>473</v>
      </c>
      <c r="L59">
        <f t="shared" si="0"/>
        <v>1.5</v>
      </c>
      <c r="M59">
        <f t="shared" si="1"/>
        <v>15</v>
      </c>
      <c r="N59">
        <f t="shared" si="2"/>
        <v>1.5</v>
      </c>
    </row>
    <row r="60" spans="1:14">
      <c r="A60">
        <v>58</v>
      </c>
      <c r="B60" t="s">
        <v>369</v>
      </c>
      <c r="C60" t="s">
        <v>531</v>
      </c>
      <c r="D60" t="s">
        <v>474</v>
      </c>
      <c r="E60">
        <v>5</v>
      </c>
      <c r="F60">
        <v>5</v>
      </c>
      <c r="I60">
        <v>5</v>
      </c>
      <c r="J60">
        <v>3</v>
      </c>
      <c r="K60" t="s">
        <v>474</v>
      </c>
      <c r="L60">
        <f t="shared" si="0"/>
        <v>15</v>
      </c>
      <c r="M60">
        <f t="shared" si="1"/>
        <v>15</v>
      </c>
      <c r="N60">
        <f t="shared" si="2"/>
        <v>1.5</v>
      </c>
    </row>
    <row r="61" spans="1:14">
      <c r="A61">
        <v>59</v>
      </c>
      <c r="B61" t="s">
        <v>371</v>
      </c>
      <c r="C61" t="s">
        <v>532</v>
      </c>
      <c r="D61" t="s">
        <v>479</v>
      </c>
      <c r="E61">
        <v>0.1</v>
      </c>
      <c r="F61">
        <v>0.1</v>
      </c>
      <c r="G61" t="b">
        <v>1</v>
      </c>
      <c r="I61">
        <v>5</v>
      </c>
      <c r="J61">
        <v>3</v>
      </c>
      <c r="K61" t="s">
        <v>479</v>
      </c>
      <c r="L61">
        <f t="shared" si="0"/>
        <v>0.30000000000000004</v>
      </c>
      <c r="M61">
        <f t="shared" si="1"/>
        <v>15</v>
      </c>
      <c r="N61">
        <f t="shared" si="2"/>
        <v>1.5</v>
      </c>
    </row>
    <row r="62" spans="1:14">
      <c r="A62">
        <v>60</v>
      </c>
      <c r="B62" t="s">
        <v>476</v>
      </c>
      <c r="C62" t="s">
        <v>530</v>
      </c>
      <c r="D62" t="s">
        <v>477</v>
      </c>
      <c r="E62">
        <v>2</v>
      </c>
      <c r="F62">
        <v>1</v>
      </c>
      <c r="G62" t="b">
        <v>1</v>
      </c>
      <c r="I62">
        <v>5</v>
      </c>
      <c r="J62">
        <v>3</v>
      </c>
      <c r="K62" t="s">
        <v>477</v>
      </c>
      <c r="L62">
        <f t="shared" si="0"/>
        <v>4</v>
      </c>
      <c r="M62">
        <f t="shared" si="1"/>
        <v>15</v>
      </c>
      <c r="N62">
        <f t="shared" si="2"/>
        <v>1.5</v>
      </c>
    </row>
    <row r="63" spans="1:14">
      <c r="A63">
        <v>61</v>
      </c>
      <c r="B63" t="s">
        <v>166</v>
      </c>
      <c r="C63" t="s">
        <v>529</v>
      </c>
      <c r="D63" t="s">
        <v>478</v>
      </c>
      <c r="E63">
        <v>0.4</v>
      </c>
      <c r="F63">
        <v>0.3</v>
      </c>
      <c r="G63" t="b">
        <v>1</v>
      </c>
      <c r="I63">
        <v>5</v>
      </c>
      <c r="J63">
        <v>3</v>
      </c>
      <c r="K63" t="s">
        <v>478</v>
      </c>
      <c r="L63">
        <f t="shared" si="0"/>
        <v>1</v>
      </c>
      <c r="M63">
        <f t="shared" si="1"/>
        <v>15</v>
      </c>
      <c r="N63">
        <f t="shared" si="2"/>
        <v>1.5</v>
      </c>
    </row>
    <row r="64" spans="1:14">
      <c r="A64" t="s">
        <v>4</v>
      </c>
      <c r="B64" s="4"/>
      <c r="C64" s="4"/>
      <c r="M64">
        <f>SUM(M3:M63)</f>
        <v>915</v>
      </c>
      <c r="N64">
        <f>M64/10</f>
        <v>91.5</v>
      </c>
    </row>
    <row r="65" spans="2:3">
      <c r="B65" s="4"/>
      <c r="C65" s="4"/>
    </row>
    <row r="66" spans="2:3">
      <c r="B66" s="4"/>
      <c r="C66" s="4"/>
    </row>
    <row r="67" spans="2:3">
      <c r="B67" s="4"/>
      <c r="C67" s="4"/>
    </row>
  </sheetData>
  <phoneticPr fontId="1" type="noConversion"/>
  <dataValidations count="1">
    <dataValidation type="list" allowBlank="1" showInputMessage="1" showErrorMessage="1" sqref="G113:G1048576 G1:G68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Ref!#REF!</xm:f>
          </x14:formula1>
          <xm:sqref>K3:K6 K10:K63</xm:sqref>
        </x14:dataValidation>
        <x14:dataValidation type="list" allowBlank="1" showInputMessage="1" showErrorMessage="1">
          <x14:formula1>
            <xm:f>Ref!$C$2:$C$62</xm:f>
          </x14:formula1>
          <xm:sqref>D1:D1048576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1:O87"/>
  <sheetViews>
    <sheetView topLeftCell="A43" workbookViewId="0">
      <selection activeCell="J63" sqref="J63:J71"/>
    </sheetView>
  </sheetViews>
  <sheetFormatPr defaultRowHeight="16.5"/>
  <cols>
    <col min="8" max="8" width="11.625" bestFit="1" customWidth="1"/>
    <col min="9" max="9" width="70.125" bestFit="1" customWidth="1"/>
    <col min="10" max="10" width="19.75" customWidth="1"/>
  </cols>
  <sheetData>
    <row r="1" spans="8:10">
      <c r="H1" t="s">
        <v>2</v>
      </c>
      <c r="I1" t="s">
        <v>197</v>
      </c>
      <c r="J1" t="s">
        <v>198</v>
      </c>
    </row>
    <row r="2" spans="8:10">
      <c r="H2" t="s">
        <v>178</v>
      </c>
      <c r="I2" t="s">
        <v>144</v>
      </c>
      <c r="J2" t="s">
        <v>199</v>
      </c>
    </row>
    <row r="3" spans="8:10">
      <c r="H3" t="s">
        <v>179</v>
      </c>
      <c r="I3" t="s">
        <v>145</v>
      </c>
      <c r="J3" t="s">
        <v>199</v>
      </c>
    </row>
    <row r="4" spans="8:10">
      <c r="H4" t="s">
        <v>180</v>
      </c>
      <c r="I4" t="s">
        <v>146</v>
      </c>
      <c r="J4" t="s">
        <v>199</v>
      </c>
    </row>
    <row r="5" spans="8:10">
      <c r="H5" t="s">
        <v>172</v>
      </c>
      <c r="I5" t="s">
        <v>171</v>
      </c>
      <c r="J5" t="s">
        <v>199</v>
      </c>
    </row>
    <row r="6" spans="8:10">
      <c r="H6" t="s">
        <v>181</v>
      </c>
      <c r="I6" s="4" t="s">
        <v>318</v>
      </c>
      <c r="J6" t="s">
        <v>200</v>
      </c>
    </row>
    <row r="7" spans="8:10">
      <c r="H7" t="s">
        <v>182</v>
      </c>
      <c r="I7" t="s">
        <v>319</v>
      </c>
      <c r="J7" t="s">
        <v>199</v>
      </c>
    </row>
    <row r="8" spans="8:10">
      <c r="H8" t="s">
        <v>168</v>
      </c>
      <c r="I8" t="s">
        <v>176</v>
      </c>
      <c r="J8" t="s">
        <v>201</v>
      </c>
    </row>
    <row r="9" spans="8:10">
      <c r="H9" t="s">
        <v>236</v>
      </c>
      <c r="I9" t="s">
        <v>235</v>
      </c>
      <c r="J9" t="s">
        <v>228</v>
      </c>
    </row>
    <row r="10" spans="8:10">
      <c r="H10" t="s">
        <v>290</v>
      </c>
      <c r="I10" t="s">
        <v>285</v>
      </c>
      <c r="J10" t="s">
        <v>207</v>
      </c>
    </row>
    <row r="11" spans="8:10">
      <c r="H11" t="s">
        <v>289</v>
      </c>
      <c r="I11" t="s">
        <v>286</v>
      </c>
      <c r="J11" t="s">
        <v>207</v>
      </c>
    </row>
    <row r="12" spans="8:10">
      <c r="H12" t="s">
        <v>288</v>
      </c>
      <c r="I12" t="s">
        <v>287</v>
      </c>
      <c r="J12" t="s">
        <v>207</v>
      </c>
    </row>
    <row r="13" spans="8:10">
      <c r="H13" t="s">
        <v>299</v>
      </c>
      <c r="I13" t="s">
        <v>300</v>
      </c>
      <c r="J13" t="s">
        <v>326</v>
      </c>
    </row>
    <row r="15" spans="8:10">
      <c r="H15" t="s">
        <v>174</v>
      </c>
      <c r="I15" t="s">
        <v>175</v>
      </c>
      <c r="J15" t="s">
        <v>202</v>
      </c>
    </row>
    <row r="16" spans="8:10">
      <c r="H16" t="s">
        <v>203</v>
      </c>
      <c r="I16" t="s">
        <v>212</v>
      </c>
      <c r="J16" t="s">
        <v>202</v>
      </c>
    </row>
    <row r="17" spans="8:13">
      <c r="H17" t="s">
        <v>183</v>
      </c>
      <c r="I17" t="s">
        <v>206</v>
      </c>
      <c r="J17" t="s">
        <v>207</v>
      </c>
    </row>
    <row r="18" spans="8:13">
      <c r="H18" t="s">
        <v>204</v>
      </c>
      <c r="I18" s="4" t="s">
        <v>205</v>
      </c>
      <c r="J18" t="s">
        <v>208</v>
      </c>
      <c r="M18" s="10"/>
    </row>
    <row r="19" spans="8:13">
      <c r="H19" t="s">
        <v>209</v>
      </c>
      <c r="I19" s="12" t="s">
        <v>210</v>
      </c>
      <c r="J19" s="11" t="s">
        <v>211</v>
      </c>
      <c r="M19" s="9"/>
    </row>
    <row r="20" spans="8:13">
      <c r="H20" t="s">
        <v>242</v>
      </c>
      <c r="I20" t="s">
        <v>241</v>
      </c>
      <c r="J20" t="s">
        <v>207</v>
      </c>
    </row>
    <row r="22" spans="8:13">
      <c r="H22" t="s">
        <v>185</v>
      </c>
      <c r="I22" s="4" t="s">
        <v>219</v>
      </c>
      <c r="J22" t="s">
        <v>220</v>
      </c>
    </row>
    <row r="23" spans="8:13">
      <c r="H23" t="s">
        <v>186</v>
      </c>
      <c r="I23" t="s">
        <v>221</v>
      </c>
      <c r="J23" t="s">
        <v>222</v>
      </c>
    </row>
    <row r="24" spans="8:13">
      <c r="H24" t="s">
        <v>187</v>
      </c>
      <c r="I24" t="s">
        <v>223</v>
      </c>
      <c r="J24" t="s">
        <v>224</v>
      </c>
    </row>
    <row r="25" spans="8:13">
      <c r="H25" t="s">
        <v>188</v>
      </c>
      <c r="I25" t="s">
        <v>213</v>
      </c>
      <c r="J25" t="s">
        <v>214</v>
      </c>
    </row>
    <row r="26" spans="8:13">
      <c r="H26" t="s">
        <v>217</v>
      </c>
      <c r="I26" t="s">
        <v>215</v>
      </c>
      <c r="J26" t="s">
        <v>216</v>
      </c>
    </row>
    <row r="28" spans="8:13">
      <c r="H28" t="s">
        <v>189</v>
      </c>
      <c r="I28" s="4" t="s">
        <v>315</v>
      </c>
      <c r="J28" t="s">
        <v>207</v>
      </c>
    </row>
    <row r="29" spans="8:13">
      <c r="H29" t="s">
        <v>190</v>
      </c>
      <c r="I29" s="4" t="s">
        <v>225</v>
      </c>
      <c r="J29" t="s">
        <v>226</v>
      </c>
    </row>
    <row r="30" spans="8:13">
      <c r="H30" t="s">
        <v>192</v>
      </c>
      <c r="I30" t="s">
        <v>227</v>
      </c>
      <c r="J30" t="s">
        <v>218</v>
      </c>
    </row>
    <row r="31" spans="8:13">
      <c r="H31" t="s">
        <v>177</v>
      </c>
      <c r="I31" s="4" t="s">
        <v>505</v>
      </c>
      <c r="J31" t="s">
        <v>214</v>
      </c>
    </row>
    <row r="32" spans="8:13">
      <c r="H32" t="s">
        <v>193</v>
      </c>
      <c r="I32" s="4" t="s">
        <v>316</v>
      </c>
      <c r="J32" t="s">
        <v>228</v>
      </c>
    </row>
    <row r="33" spans="8:15">
      <c r="H33" t="s">
        <v>173</v>
      </c>
      <c r="I33" s="4" t="s">
        <v>317</v>
      </c>
      <c r="J33" t="s">
        <v>234</v>
      </c>
    </row>
    <row r="34" spans="8:15">
      <c r="H34" t="s">
        <v>323</v>
      </c>
      <c r="I34" s="4" t="s">
        <v>324</v>
      </c>
      <c r="J34" t="s">
        <v>325</v>
      </c>
    </row>
    <row r="36" spans="8:15">
      <c r="H36" t="s">
        <v>194</v>
      </c>
      <c r="I36" t="s">
        <v>314</v>
      </c>
      <c r="J36" t="s">
        <v>229</v>
      </c>
    </row>
    <row r="37" spans="8:15">
      <c r="H37" t="s">
        <v>195</v>
      </c>
      <c r="I37" s="4" t="s">
        <v>231</v>
      </c>
      <c r="J37" t="s">
        <v>230</v>
      </c>
    </row>
    <row r="38" spans="8:15">
      <c r="H38" t="s">
        <v>196</v>
      </c>
      <c r="I38" s="4" t="s">
        <v>232</v>
      </c>
      <c r="J38" t="s">
        <v>233</v>
      </c>
    </row>
    <row r="39" spans="8:15">
      <c r="H39" t="s">
        <v>246</v>
      </c>
      <c r="I39" s="4" t="s">
        <v>244</v>
      </c>
      <c r="J39" t="s">
        <v>245</v>
      </c>
    </row>
    <row r="40" spans="8:15">
      <c r="H40" t="s">
        <v>248</v>
      </c>
      <c r="I40" s="4" t="s">
        <v>249</v>
      </c>
      <c r="J40" t="s">
        <v>202</v>
      </c>
    </row>
    <row r="41" spans="8:15">
      <c r="H41" t="s">
        <v>151</v>
      </c>
      <c r="I41" t="s">
        <v>313</v>
      </c>
      <c r="J41" t="s">
        <v>250</v>
      </c>
    </row>
    <row r="43" spans="8:15">
      <c r="H43" t="s">
        <v>133</v>
      </c>
      <c r="I43" s="4" t="s">
        <v>243</v>
      </c>
      <c r="J43" t="s">
        <v>234</v>
      </c>
    </row>
    <row r="44" spans="8:15">
      <c r="H44" t="s">
        <v>136</v>
      </c>
      <c r="I44" s="4" t="s">
        <v>240</v>
      </c>
      <c r="J44" t="s">
        <v>239</v>
      </c>
    </row>
    <row r="45" spans="8:15">
      <c r="H45" t="s">
        <v>293</v>
      </c>
      <c r="I45" t="s">
        <v>237</v>
      </c>
      <c r="J45" t="s">
        <v>238</v>
      </c>
    </row>
    <row r="46" spans="8:15">
      <c r="H46" t="s">
        <v>321</v>
      </c>
      <c r="I46" t="s">
        <v>291</v>
      </c>
      <c r="J46" t="s">
        <v>292</v>
      </c>
      <c r="N46" t="s">
        <v>307</v>
      </c>
      <c r="O46" t="s">
        <v>310</v>
      </c>
    </row>
    <row r="47" spans="8:15">
      <c r="H47" t="s">
        <v>322</v>
      </c>
      <c r="I47" t="s">
        <v>320</v>
      </c>
      <c r="J47" t="s">
        <v>292</v>
      </c>
      <c r="N47" t="s">
        <v>308</v>
      </c>
      <c r="O47" t="s">
        <v>312</v>
      </c>
    </row>
    <row r="48" spans="8:15">
      <c r="N48" t="s">
        <v>309</v>
      </c>
      <c r="O48" t="s">
        <v>311</v>
      </c>
    </row>
    <row r="49" spans="8:10">
      <c r="H49" t="s">
        <v>191</v>
      </c>
      <c r="I49" s="4" t="s">
        <v>247</v>
      </c>
      <c r="J49" t="s">
        <v>251</v>
      </c>
    </row>
    <row r="50" spans="8:10">
      <c r="H50" t="s">
        <v>152</v>
      </c>
      <c r="I50" t="s">
        <v>258</v>
      </c>
      <c r="J50" t="s">
        <v>259</v>
      </c>
    </row>
    <row r="52" spans="8:10">
      <c r="H52" t="s">
        <v>135</v>
      </c>
      <c r="I52" s="4" t="s">
        <v>252</v>
      </c>
      <c r="J52" t="s">
        <v>253</v>
      </c>
    </row>
    <row r="54" spans="8:10">
      <c r="H54" t="s">
        <v>297</v>
      </c>
      <c r="I54" s="4" t="s">
        <v>295</v>
      </c>
      <c r="J54" t="s">
        <v>218</v>
      </c>
    </row>
    <row r="55" spans="8:10">
      <c r="H55" t="s">
        <v>134</v>
      </c>
      <c r="I55" s="4" t="s">
        <v>256</v>
      </c>
      <c r="J55" t="s">
        <v>257</v>
      </c>
    </row>
    <row r="56" spans="8:10">
      <c r="H56" t="s">
        <v>162</v>
      </c>
      <c r="I56" t="s">
        <v>262</v>
      </c>
      <c r="J56" t="s">
        <v>263</v>
      </c>
    </row>
    <row r="58" spans="8:10">
      <c r="H58" t="s">
        <v>137</v>
      </c>
      <c r="I58" s="4" t="s">
        <v>282</v>
      </c>
      <c r="J58" t="s">
        <v>283</v>
      </c>
    </row>
    <row r="59" spans="8:10">
      <c r="H59" t="s">
        <v>261</v>
      </c>
      <c r="I59" s="13" t="s">
        <v>260</v>
      </c>
      <c r="J59" t="s">
        <v>207</v>
      </c>
    </row>
    <row r="60" spans="8:10">
      <c r="H60" t="s">
        <v>264</v>
      </c>
      <c r="I60" s="14" t="s">
        <v>306</v>
      </c>
      <c r="J60" t="s">
        <v>265</v>
      </c>
    </row>
    <row r="63" spans="8:10">
      <c r="H63" t="s">
        <v>278</v>
      </c>
      <c r="I63" t="s">
        <v>279</v>
      </c>
      <c r="J63" t="s">
        <v>218</v>
      </c>
    </row>
    <row r="64" spans="8:10">
      <c r="H64" t="s">
        <v>169</v>
      </c>
      <c r="I64" t="s">
        <v>276</v>
      </c>
      <c r="J64" t="s">
        <v>277</v>
      </c>
    </row>
    <row r="65" spans="8:10">
      <c r="H65" t="s">
        <v>170</v>
      </c>
      <c r="I65" t="s">
        <v>274</v>
      </c>
      <c r="J65" t="s">
        <v>275</v>
      </c>
    </row>
    <row r="66" spans="8:10">
      <c r="H66" t="s">
        <v>131</v>
      </c>
      <c r="I66" s="4" t="s">
        <v>280</v>
      </c>
      <c r="J66" t="s">
        <v>281</v>
      </c>
    </row>
    <row r="67" spans="8:10">
      <c r="H67" t="s">
        <v>266</v>
      </c>
      <c r="I67" t="s">
        <v>267</v>
      </c>
      <c r="J67" t="s">
        <v>268</v>
      </c>
    </row>
    <row r="68" spans="8:10">
      <c r="H68" t="s">
        <v>305</v>
      </c>
      <c r="I68" t="s">
        <v>303</v>
      </c>
      <c r="J68" t="s">
        <v>304</v>
      </c>
    </row>
    <row r="69" spans="8:10">
      <c r="H69" t="s">
        <v>284</v>
      </c>
      <c r="I69" t="s">
        <v>269</v>
      </c>
      <c r="J69" t="s">
        <v>270</v>
      </c>
    </row>
    <row r="70" spans="8:10">
      <c r="H70" t="s">
        <v>271</v>
      </c>
      <c r="I70" t="s">
        <v>273</v>
      </c>
      <c r="J70" t="s">
        <v>272</v>
      </c>
    </row>
    <row r="71" spans="8:10">
      <c r="H71" t="s">
        <v>166</v>
      </c>
      <c r="I71" t="s">
        <v>301</v>
      </c>
      <c r="J71" t="s">
        <v>302</v>
      </c>
    </row>
    <row r="74" spans="8:10">
      <c r="H74" t="s">
        <v>148</v>
      </c>
      <c r="I74" t="s">
        <v>147</v>
      </c>
    </row>
    <row r="75" spans="8:10">
      <c r="H75" t="s">
        <v>138</v>
      </c>
      <c r="I75" t="s">
        <v>139</v>
      </c>
    </row>
    <row r="76" spans="8:10">
      <c r="H76" t="s">
        <v>140</v>
      </c>
      <c r="I76" s="4" t="s">
        <v>141</v>
      </c>
    </row>
    <row r="77" spans="8:10">
      <c r="H77" t="s">
        <v>143</v>
      </c>
      <c r="I77" t="s">
        <v>142</v>
      </c>
    </row>
    <row r="78" spans="8:10">
      <c r="H78" t="s">
        <v>150</v>
      </c>
      <c r="I78" t="s">
        <v>149</v>
      </c>
    </row>
    <row r="79" spans="8:10">
      <c r="H79" t="s">
        <v>153</v>
      </c>
      <c r="I79" t="s">
        <v>156</v>
      </c>
    </row>
    <row r="80" spans="8:10">
      <c r="H80" t="s">
        <v>154</v>
      </c>
      <c r="I80" t="s">
        <v>157</v>
      </c>
    </row>
    <row r="81" spans="8:10">
      <c r="H81" t="s">
        <v>155</v>
      </c>
      <c r="I81" t="s">
        <v>158</v>
      </c>
    </row>
    <row r="82" spans="8:10">
      <c r="H82" t="s">
        <v>159</v>
      </c>
      <c r="I82" t="s">
        <v>160</v>
      </c>
    </row>
    <row r="83" spans="8:10">
      <c r="H83" t="s">
        <v>163</v>
      </c>
      <c r="I83" t="s">
        <v>164</v>
      </c>
    </row>
    <row r="84" spans="8:10">
      <c r="H84" t="s">
        <v>132</v>
      </c>
      <c r="I84" s="4" t="s">
        <v>165</v>
      </c>
    </row>
    <row r="85" spans="8:10">
      <c r="H85" t="s">
        <v>161</v>
      </c>
      <c r="I85" t="s">
        <v>254</v>
      </c>
      <c r="J85" s="11" t="s">
        <v>255</v>
      </c>
    </row>
    <row r="86" spans="8:10">
      <c r="H86" t="s">
        <v>184</v>
      </c>
      <c r="I86" s="4" t="s">
        <v>294</v>
      </c>
      <c r="J86" t="s">
        <v>218</v>
      </c>
    </row>
    <row r="87" spans="8:10">
      <c r="H87" t="s">
        <v>298</v>
      </c>
      <c r="I87" s="4" t="s">
        <v>296</v>
      </c>
      <c r="J87" t="s">
        <v>218</v>
      </c>
    </row>
  </sheetData>
  <phoneticPr fontId="1" type="noConversion"/>
  <dataValidations count="1">
    <dataValidation type="list" allowBlank="1" showInputMessage="1" showErrorMessage="1" sqref="H58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Ref!#REF!</xm:f>
          </x14:formula1>
          <xm:sqref>D34:D52 D17:D19 D1:D3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62"/>
  <sheetViews>
    <sheetView workbookViewId="0">
      <selection activeCell="C6" sqref="C6"/>
    </sheetView>
  </sheetViews>
  <sheetFormatPr defaultRowHeight="16.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>
      <c r="A1" s="3" t="s">
        <v>19</v>
      </c>
      <c r="B1" s="3" t="s">
        <v>17</v>
      </c>
      <c r="C1" s="1" t="s">
        <v>85</v>
      </c>
      <c r="D1" s="1" t="s">
        <v>86</v>
      </c>
    </row>
    <row r="2" spans="1:5">
      <c r="A2" s="2" t="s">
        <v>61</v>
      </c>
      <c r="B2" s="2" t="s">
        <v>48</v>
      </c>
      <c r="C2" t="s">
        <v>88</v>
      </c>
      <c r="D2" s="4" t="s">
        <v>480</v>
      </c>
      <c r="E2" s="2" t="s">
        <v>98</v>
      </c>
    </row>
    <row r="3" spans="1: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>
      <c r="A4" s="2" t="s">
        <v>57</v>
      </c>
      <c r="B4" s="2" t="s">
        <v>54</v>
      </c>
      <c r="C4" t="s">
        <v>89</v>
      </c>
      <c r="D4" s="4" t="s">
        <v>167</v>
      </c>
      <c r="E4" t="s">
        <v>100</v>
      </c>
    </row>
    <row r="5" spans="1:5">
      <c r="A5" s="2" t="s">
        <v>58</v>
      </c>
      <c r="B5" s="2" t="s">
        <v>52</v>
      </c>
      <c r="C5" t="s">
        <v>90</v>
      </c>
      <c r="D5" s="4" t="s">
        <v>332</v>
      </c>
      <c r="E5" s="4" t="s">
        <v>96</v>
      </c>
    </row>
    <row r="6" spans="1:5">
      <c r="A6" s="2" t="s">
        <v>11</v>
      </c>
      <c r="B6" s="2" t="s">
        <v>31</v>
      </c>
      <c r="C6" t="s">
        <v>483</v>
      </c>
      <c r="D6" t="s">
        <v>178</v>
      </c>
      <c r="E6" t="s">
        <v>144</v>
      </c>
    </row>
    <row r="7" spans="1:5">
      <c r="A7" s="2" t="s">
        <v>38</v>
      </c>
      <c r="B7" s="2" t="s">
        <v>35</v>
      </c>
      <c r="C7" t="s">
        <v>482</v>
      </c>
      <c r="D7" t="s">
        <v>179</v>
      </c>
      <c r="E7" t="s">
        <v>145</v>
      </c>
    </row>
    <row r="8" spans="1:5">
      <c r="A8" s="2" t="s">
        <v>39</v>
      </c>
      <c r="B8" s="2" t="s">
        <v>36</v>
      </c>
      <c r="C8" t="s">
        <v>484</v>
      </c>
      <c r="D8" t="s">
        <v>180</v>
      </c>
      <c r="E8" t="s">
        <v>146</v>
      </c>
    </row>
    <row r="9" spans="1:5">
      <c r="A9" s="2" t="s">
        <v>12</v>
      </c>
      <c r="B9" s="2" t="s">
        <v>32</v>
      </c>
      <c r="C9" t="s">
        <v>411</v>
      </c>
      <c r="D9" t="s">
        <v>172</v>
      </c>
      <c r="E9" t="s">
        <v>375</v>
      </c>
    </row>
    <row r="10" spans="1:5">
      <c r="A10" s="2" t="s">
        <v>79</v>
      </c>
      <c r="B10" s="2" t="s">
        <v>80</v>
      </c>
      <c r="C10" t="s">
        <v>412</v>
      </c>
      <c r="D10" t="s">
        <v>181</v>
      </c>
      <c r="E10" t="s">
        <v>376</v>
      </c>
    </row>
    <row r="11" spans="1:5">
      <c r="A11" s="2" t="s">
        <v>78</v>
      </c>
      <c r="B11" s="2" t="s">
        <v>5</v>
      </c>
      <c r="C11" t="s">
        <v>533</v>
      </c>
      <c r="D11" t="s">
        <v>182</v>
      </c>
      <c r="E11" t="s">
        <v>377</v>
      </c>
    </row>
    <row r="12" spans="1:5">
      <c r="A12" s="2" t="s">
        <v>13</v>
      </c>
      <c r="B12" s="2" t="s">
        <v>6</v>
      </c>
      <c r="C12" t="s">
        <v>414</v>
      </c>
      <c r="D12" t="s">
        <v>378</v>
      </c>
      <c r="E12" t="s">
        <v>379</v>
      </c>
    </row>
    <row r="13" spans="1:5">
      <c r="A13" s="2" t="s">
        <v>14</v>
      </c>
      <c r="B13" s="2" t="s">
        <v>33</v>
      </c>
      <c r="C13" t="s">
        <v>415</v>
      </c>
      <c r="D13" t="s">
        <v>327</v>
      </c>
      <c r="E13" t="s">
        <v>380</v>
      </c>
    </row>
    <row r="14" spans="1:5">
      <c r="A14" s="2" t="s">
        <v>40</v>
      </c>
      <c r="B14" s="2" t="s">
        <v>7</v>
      </c>
      <c r="C14" t="s">
        <v>416</v>
      </c>
      <c r="D14" t="s">
        <v>328</v>
      </c>
      <c r="E14" t="s">
        <v>381</v>
      </c>
    </row>
    <row r="15" spans="1:5">
      <c r="A15" s="2" t="s">
        <v>59</v>
      </c>
      <c r="B15" s="2" t="s">
        <v>425</v>
      </c>
      <c r="C15" t="s">
        <v>417</v>
      </c>
      <c r="D15" t="s">
        <v>329</v>
      </c>
      <c r="E15" t="s">
        <v>382</v>
      </c>
    </row>
    <row r="16" spans="1:5">
      <c r="A16" s="2" t="s">
        <v>60</v>
      </c>
      <c r="B16" s="2" t="s">
        <v>46</v>
      </c>
      <c r="C16" t="s">
        <v>418</v>
      </c>
      <c r="D16" t="s">
        <v>330</v>
      </c>
      <c r="E16" t="s">
        <v>383</v>
      </c>
    </row>
    <row r="17" spans="1:5">
      <c r="A17" s="2" t="s">
        <v>37</v>
      </c>
      <c r="B17" s="2" t="s">
        <v>34</v>
      </c>
      <c r="C17" t="s">
        <v>419</v>
      </c>
      <c r="D17" t="s">
        <v>174</v>
      </c>
      <c r="E17" t="s">
        <v>384</v>
      </c>
    </row>
    <row r="18" spans="1:5">
      <c r="C18" t="s">
        <v>420</v>
      </c>
      <c r="D18" t="s">
        <v>385</v>
      </c>
      <c r="E18" t="s">
        <v>386</v>
      </c>
    </row>
    <row r="19" spans="1:5">
      <c r="C19" t="s">
        <v>422</v>
      </c>
      <c r="D19" t="s">
        <v>421</v>
      </c>
      <c r="E19" t="s">
        <v>387</v>
      </c>
    </row>
    <row r="20" spans="1:5">
      <c r="C20" t="s">
        <v>423</v>
      </c>
      <c r="D20" t="s">
        <v>331</v>
      </c>
      <c r="E20" t="s">
        <v>388</v>
      </c>
    </row>
    <row r="21" spans="1:5">
      <c r="C21" t="s">
        <v>426</v>
      </c>
      <c r="D21" t="s">
        <v>424</v>
      </c>
      <c r="E21" t="s">
        <v>389</v>
      </c>
    </row>
    <row r="22" spans="1:5">
      <c r="C22" t="s">
        <v>428</v>
      </c>
      <c r="D22" t="s">
        <v>185</v>
      </c>
      <c r="E22" t="s">
        <v>333</v>
      </c>
    </row>
    <row r="23" spans="1:5">
      <c r="C23" t="s">
        <v>427</v>
      </c>
      <c r="D23" t="s">
        <v>186</v>
      </c>
      <c r="E23" t="s">
        <v>401</v>
      </c>
    </row>
    <row r="24" spans="1:5">
      <c r="C24" t="s">
        <v>430</v>
      </c>
      <c r="D24" t="s">
        <v>429</v>
      </c>
      <c r="E24" t="s">
        <v>334</v>
      </c>
    </row>
    <row r="25" spans="1:5">
      <c r="C25" t="s">
        <v>432</v>
      </c>
      <c r="D25" t="s">
        <v>431</v>
      </c>
      <c r="E25" t="s">
        <v>390</v>
      </c>
    </row>
    <row r="26" spans="1:5">
      <c r="C26" t="s">
        <v>433</v>
      </c>
      <c r="D26" t="s">
        <v>335</v>
      </c>
      <c r="E26" t="s">
        <v>408</v>
      </c>
    </row>
    <row r="27" spans="1:5">
      <c r="C27" t="s">
        <v>434</v>
      </c>
      <c r="D27" t="s">
        <v>402</v>
      </c>
      <c r="E27" t="s">
        <v>391</v>
      </c>
    </row>
    <row r="28" spans="1:5">
      <c r="C28" t="s">
        <v>435</v>
      </c>
      <c r="D28" t="s">
        <v>403</v>
      </c>
      <c r="E28" t="s">
        <v>404</v>
      </c>
    </row>
    <row r="29" spans="1:5">
      <c r="C29" t="s">
        <v>436</v>
      </c>
      <c r="D29" t="s">
        <v>405</v>
      </c>
      <c r="E29" t="s">
        <v>392</v>
      </c>
    </row>
    <row r="30" spans="1:5">
      <c r="C30" t="s">
        <v>437</v>
      </c>
      <c r="D30" t="s">
        <v>406</v>
      </c>
      <c r="E30" t="s">
        <v>407</v>
      </c>
    </row>
    <row r="31" spans="1:5">
      <c r="C31" t="s">
        <v>438</v>
      </c>
      <c r="D31" t="s">
        <v>193</v>
      </c>
      <c r="E31" t="s">
        <v>393</v>
      </c>
    </row>
    <row r="32" spans="1:5">
      <c r="C32" t="s">
        <v>439</v>
      </c>
      <c r="D32" t="s">
        <v>173</v>
      </c>
      <c r="E32" t="s">
        <v>394</v>
      </c>
    </row>
    <row r="33" spans="3:5">
      <c r="C33" t="s">
        <v>440</v>
      </c>
      <c r="D33" t="s">
        <v>336</v>
      </c>
      <c r="E33" t="s">
        <v>395</v>
      </c>
    </row>
    <row r="34" spans="3:5">
      <c r="C34" t="s">
        <v>441</v>
      </c>
      <c r="D34" t="s">
        <v>194</v>
      </c>
      <c r="E34" t="s">
        <v>409</v>
      </c>
    </row>
    <row r="35" spans="3:5">
      <c r="C35" t="s">
        <v>443</v>
      </c>
      <c r="D35" t="s">
        <v>442</v>
      </c>
      <c r="E35" t="s">
        <v>337</v>
      </c>
    </row>
    <row r="36" spans="3:5">
      <c r="C36" t="s">
        <v>444</v>
      </c>
      <c r="D36" t="s">
        <v>196</v>
      </c>
      <c r="E36" t="s">
        <v>396</v>
      </c>
    </row>
    <row r="37" spans="3:5">
      <c r="C37" t="s">
        <v>445</v>
      </c>
      <c r="D37" t="s">
        <v>397</v>
      </c>
      <c r="E37" t="s">
        <v>398</v>
      </c>
    </row>
    <row r="38" spans="3:5">
      <c r="C38" t="s">
        <v>446</v>
      </c>
      <c r="D38" t="s">
        <v>399</v>
      </c>
      <c r="E38" t="s">
        <v>400</v>
      </c>
    </row>
    <row r="39" spans="3:5">
      <c r="C39" t="s">
        <v>448</v>
      </c>
      <c r="D39" t="s">
        <v>447</v>
      </c>
      <c r="E39" t="s">
        <v>410</v>
      </c>
    </row>
    <row r="40" spans="3:5">
      <c r="C40" t="s">
        <v>449</v>
      </c>
      <c r="D40" t="s">
        <v>338</v>
      </c>
      <c r="E40" t="s">
        <v>339</v>
      </c>
    </row>
    <row r="41" spans="3:5">
      <c r="C41" t="s">
        <v>451</v>
      </c>
      <c r="D41" t="s">
        <v>450</v>
      </c>
      <c r="E41" t="s">
        <v>340</v>
      </c>
    </row>
    <row r="42" spans="3:5">
      <c r="C42" t="s">
        <v>453</v>
      </c>
      <c r="D42" t="s">
        <v>452</v>
      </c>
      <c r="E42" t="s">
        <v>341</v>
      </c>
    </row>
    <row r="43" spans="3:5">
      <c r="C43" t="s">
        <v>454</v>
      </c>
      <c r="D43" t="s">
        <v>342</v>
      </c>
      <c r="E43" t="s">
        <v>343</v>
      </c>
    </row>
    <row r="44" spans="3:5">
      <c r="C44" t="s">
        <v>455</v>
      </c>
      <c r="D44" t="s">
        <v>344</v>
      </c>
      <c r="E44" t="s">
        <v>345</v>
      </c>
    </row>
    <row r="45" spans="3:5">
      <c r="C45" t="s">
        <v>456</v>
      </c>
      <c r="D45" t="s">
        <v>191</v>
      </c>
      <c r="E45" t="s">
        <v>346</v>
      </c>
    </row>
    <row r="46" spans="3:5">
      <c r="C46" t="s">
        <v>459</v>
      </c>
      <c r="D46" t="s">
        <v>347</v>
      </c>
      <c r="E46" t="s">
        <v>348</v>
      </c>
    </row>
    <row r="47" spans="3:5">
      <c r="C47" t="s">
        <v>457</v>
      </c>
      <c r="D47" t="s">
        <v>349</v>
      </c>
      <c r="E47" t="s">
        <v>350</v>
      </c>
    </row>
    <row r="48" spans="3:5">
      <c r="C48" t="s">
        <v>460</v>
      </c>
      <c r="D48" t="s">
        <v>351</v>
      </c>
      <c r="E48" t="s">
        <v>352</v>
      </c>
    </row>
    <row r="49" spans="3:5">
      <c r="C49" t="s">
        <v>458</v>
      </c>
      <c r="D49" t="s">
        <v>353</v>
      </c>
      <c r="E49" t="s">
        <v>354</v>
      </c>
    </row>
    <row r="50" spans="3:5">
      <c r="C50" t="s">
        <v>462</v>
      </c>
      <c r="D50" t="s">
        <v>461</v>
      </c>
      <c r="E50" t="s">
        <v>355</v>
      </c>
    </row>
    <row r="51" spans="3:5">
      <c r="C51" t="s">
        <v>464</v>
      </c>
      <c r="D51" t="s">
        <v>463</v>
      </c>
      <c r="E51" t="s">
        <v>356</v>
      </c>
    </row>
    <row r="52" spans="3:5">
      <c r="C52" t="s">
        <v>466</v>
      </c>
      <c r="D52" t="s">
        <v>465</v>
      </c>
      <c r="E52" t="s">
        <v>357</v>
      </c>
    </row>
    <row r="53" spans="3:5">
      <c r="C53" t="s">
        <v>467</v>
      </c>
      <c r="D53" t="s">
        <v>358</v>
      </c>
      <c r="E53" t="s">
        <v>359</v>
      </c>
    </row>
    <row r="54" spans="3:5">
      <c r="C54" t="s">
        <v>468</v>
      </c>
      <c r="D54" t="s">
        <v>360</v>
      </c>
      <c r="E54" t="s">
        <v>361</v>
      </c>
    </row>
    <row r="55" spans="3:5">
      <c r="C55" t="s">
        <v>470</v>
      </c>
      <c r="D55" t="s">
        <v>469</v>
      </c>
      <c r="E55" t="s">
        <v>362</v>
      </c>
    </row>
    <row r="56" spans="3:5">
      <c r="C56" t="s">
        <v>471</v>
      </c>
      <c r="D56" t="s">
        <v>363</v>
      </c>
      <c r="E56" t="s">
        <v>364</v>
      </c>
    </row>
    <row r="57" spans="3:5">
      <c r="C57" t="s">
        <v>472</v>
      </c>
      <c r="D57" t="s">
        <v>365</v>
      </c>
      <c r="E57" t="s">
        <v>366</v>
      </c>
    </row>
    <row r="58" spans="3:5">
      <c r="C58" t="s">
        <v>473</v>
      </c>
      <c r="D58" t="s">
        <v>367</v>
      </c>
      <c r="E58" t="s">
        <v>368</v>
      </c>
    </row>
    <row r="59" spans="3:5">
      <c r="C59" t="s">
        <v>474</v>
      </c>
      <c r="D59" t="s">
        <v>369</v>
      </c>
      <c r="E59" t="s">
        <v>370</v>
      </c>
    </row>
    <row r="60" spans="3:5">
      <c r="C60" t="s">
        <v>479</v>
      </c>
      <c r="D60" t="s">
        <v>371</v>
      </c>
      <c r="E60" t="s">
        <v>475</v>
      </c>
    </row>
    <row r="61" spans="3:5">
      <c r="C61" t="s">
        <v>477</v>
      </c>
      <c r="D61" t="s">
        <v>476</v>
      </c>
      <c r="E61" t="s">
        <v>372</v>
      </c>
    </row>
    <row r="62" spans="3:5">
      <c r="C62" t="s">
        <v>478</v>
      </c>
      <c r="D62" t="s">
        <v>166</v>
      </c>
      <c r="E62" t="s">
        <v>373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1</vt:i4>
      </vt:variant>
    </vt:vector>
  </HeadingPairs>
  <TitlesOfParts>
    <vt:vector size="5" baseType="lpstr">
      <vt:lpstr>Strengthen</vt:lpstr>
      <vt:lpstr>Enchant</vt:lpstr>
      <vt:lpstr>BOSS技能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2018-11-20T07:48:08Z</dcterms:modified>
</cp:coreProperties>
</file>