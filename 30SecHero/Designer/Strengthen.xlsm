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960" windowWidth="14805" windowHeight="7155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M4" i="1" l="1"/>
  <c r="M5" i="1"/>
  <c r="M6" i="1"/>
  <c r="M7" i="1"/>
  <c r="M8" i="1"/>
  <c r="M9" i="1"/>
  <c r="M10" i="1"/>
  <c r="M11" i="1"/>
  <c r="M12" i="1"/>
  <c r="M3" i="1"/>
  <c r="M4" i="6"/>
  <c r="M5" i="6"/>
  <c r="M6" i="6"/>
  <c r="M7" i="6"/>
  <c r="M3" i="6"/>
  <c r="N3" i="6" l="1"/>
  <c r="L3" i="6"/>
  <c r="N7" i="6"/>
  <c r="L7" i="6"/>
  <c r="N6" i="6"/>
  <c r="L6" i="6"/>
  <c r="N5" i="6"/>
  <c r="L5" i="6"/>
  <c r="N4" i="6"/>
  <c r="L4" i="6"/>
  <c r="L4" i="1"/>
  <c r="L5" i="1"/>
  <c r="L6" i="1"/>
  <c r="L7" i="1"/>
  <c r="L8" i="1"/>
  <c r="L9" i="1"/>
  <c r="L10" i="1"/>
  <c r="L11" i="1"/>
  <c r="L12" i="1"/>
  <c r="L3" i="1"/>
  <c r="M19" i="1" l="1"/>
  <c r="M8" i="6"/>
  <c r="N8" i="6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<sst xmlns="http://schemas.openxmlformats.org/spreadsheetml/2006/main" count="173" uniqueCount="149">
  <si>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</si>
  <si>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</si>
  <si>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</si>
  <si>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</si>
  <si>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</si>
  <si>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</si>
  <si>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</si>
  <si>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</si>
  <si>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</si>
  <si>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</si>
  <si>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</si>
  <si>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</si>
  <si>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</si>
  <si>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</si>
  <si>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</si>
  <si>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</si>
  <si>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</si>
  <si>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</si>
  <si>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</si>
  <si>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</si>
  <si>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</si>
  <si>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</si>
  <si>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</si>
  <si>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</si>
  <si>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</si>
  <si>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</si>
  <si>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</si>
  <si>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</si>
  <si>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</si>
  <si>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</si>
  <si>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</si>
  <si>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</si>
  <si>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</si>
  <si>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</si>
  <si>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</si>
  <si>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</si>
  <si>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</si>
  <si>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</si>
  <si>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</si>
  <si>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</si>
  <si>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</si>
  <si>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</si>
  <si>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</si>
  <si>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</si>
  <si>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</si>
  <si>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吸血</t>
    <phoneticPr fontId="1" type="noConversion"/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</si>
  <si>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</si>
  <si>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</si>
  <si>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</si>
  <si>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</si>
  <si>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</si>
  <si>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</si>
  <si>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</si>
  <si>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</si>
  <si>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</si>
  <si>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</si>
  <si>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</si>
  <si>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</si>
  <si>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</si>
  <si>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</si>
  <si>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</si>
  <si>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</si>
  <si>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</si>
  <si>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</si>
  <si>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</si>
  <si>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</si>
  <si>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</si>
  <si>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</si>
  <si>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</si>
  <si>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</si>
  <si>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</si>
  <si>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</si>
  <si>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</si>
  <si>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</si>
  <si>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</si>
  <si>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</si>
  <si>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</si>
  <si>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</si>
  <si>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</si>
  <si>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</si>
  <si>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</si>
  <si>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</si>
  <si>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</si>
  <si>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</si>
  <si>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</si>
  <si>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</si>
  <si>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</si>
  <si>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</si>
  <si>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減少衝刺的CD時間</t>
    <phoneticPr fontId="3" type="noConversion"/>
  </si>
  <si>
    <t>一段時間沒有受到傷害可持續回血，受到傷害後取消</t>
    <phoneticPr fontId="3" type="noConversion"/>
  </si>
  <si>
    <t>刀子有機率附加隨機元素屬性</t>
    <phoneticPr fontId="3" type="noConversion"/>
  </si>
  <si>
    <t>護盾破碎時有機率放出暈眩衝擊波</t>
    <phoneticPr fontId="3" type="noConversion"/>
  </si>
  <si>
    <t>使用刀子殺死怪物機率掉落50%額外金錢</t>
    <phoneticPr fontId="3" type="noConversion"/>
  </si>
  <si>
    <t>RushCDResuce</t>
  </si>
  <si>
    <t>RushCDResuce</t>
    <phoneticPr fontId="1" type="noConversion"/>
  </si>
  <si>
    <t>ExtralGoldDrop</t>
    <phoneticPr fontId="1" type="noConversion"/>
  </si>
  <si>
    <t>NoDamageRecovery</t>
  </si>
  <si>
    <t>NoDamageRecovery</t>
    <phoneticPr fontId="1" type="noConversion"/>
  </si>
  <si>
    <t>ElementalAttack</t>
  </si>
  <si>
    <t>ElementalAttack</t>
    <phoneticPr fontId="1" type="noConversion"/>
  </si>
  <si>
    <t>ShockWave</t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</si>
  <si>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</si>
  <si>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</si>
  <si>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</si>
  <si>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</si>
  <si>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</si>
  <si>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</si>
  <si>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獎金獵人</t>
    <phoneticPr fontId="3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</si>
  <si>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</si>
  <si>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</si>
  <si>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</si>
  <si>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元素大師</t>
    <phoneticPr fontId="1" type="noConversion"/>
  </si>
  <si>
    <t>冰風暴</t>
    <phoneticPr fontId="1" type="noConversion"/>
  </si>
  <si>
    <t>再生</t>
    <phoneticPr fontId="3" type="noConversion"/>
  </si>
  <si>
    <t>BaseEmerald</t>
    <phoneticPr fontId="1" type="noConversion"/>
  </si>
  <si>
    <t>5秒沒受到傷害，持續回復{0}血量</t>
    <phoneticPr fontId="1" type="noConversion"/>
  </si>
  <si>
    <t>刀子有{0}機率附帶隨機元素效果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</si>
  <si>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</si>
  <si>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</si>
  <si>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</si>
  <si>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</si>
  <si>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</si>
  <si>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</si>
  <si>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</si>
  <si>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</si>
  <si>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</si>
  <si>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</si>
  <si>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</si>
  <si>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</si>
  <si>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</si>
  <si>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</si>
  <si>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ExtralGoldDrop</t>
    <phoneticPr fontId="1" type="noConversion"/>
  </si>
  <si>
    <t>RushCDResuce</t>
    <phoneticPr fontId="1" type="noConversion"/>
  </si>
  <si>
    <t>NoDamageRecovery</t>
    <phoneticPr fontId="1" type="noConversion"/>
  </si>
  <si>
    <t>ElementalAttack</t>
    <phoneticPr fontId="1" type="noConversion"/>
  </si>
  <si>
    <t>ShockWave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</si>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</sst>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tabSelected="1"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0" sqref="C10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119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118</v>
      </c>
      <c r="K2" s="8" t="s">
        <v>15</v>
      </c>
      <c r="L2" s="7" t="s">
        <v>144</v>
      </c>
      <c r="M2" s="7" t="s">
        <v>145</v>
      </c>
    </row>
    <row r="3" spans="1:13" x14ac:dyDescent="0.25">
      <c r="A3">
        <v>1</v>
      </c>
      <c r="B3" t="s">
        <v>141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70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142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69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140</v>
      </c>
      <c r="C5" s="2" t="s">
        <v>121</v>
      </c>
      <c r="D5" s="2" t="s">
        <v>120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71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124</v>
      </c>
      <c r="D6" s="2" t="s">
        <v>77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72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82</v>
      </c>
      <c r="C7" s="2" t="s">
        <v>123</v>
      </c>
      <c r="D7" s="2" t="s">
        <v>122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85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138</v>
      </c>
      <c r="C8" s="2" t="s">
        <v>139</v>
      </c>
      <c r="D8" s="2" t="s">
        <v>78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84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137</v>
      </c>
      <c r="C9" s="2" t="s">
        <v>125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73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136</v>
      </c>
      <c r="C10" s="2" t="s">
        <v>148</v>
      </c>
      <c r="D10" s="2" t="s">
        <v>126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75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128</v>
      </c>
      <c r="C11" s="2" t="s">
        <v>143</v>
      </c>
      <c r="D11" s="2" t="s">
        <v>127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74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83</v>
      </c>
      <c r="C12" s="2" t="s">
        <v>129</v>
      </c>
      <c r="D12" s="2" t="s">
        <v>130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76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48</v>
      </c>
      <c r="C13" s="6" t="str">
        <f t="shared" ref="C13:C18" si="3">"增加"&amp;B13&amp;"{0}"</f>
        <v>增加力量{0}</v>
      </c>
      <c r="D13" s="6" t="s">
        <v>63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56</v>
      </c>
    </row>
    <row r="14" spans="1:13" s="5" customFormat="1" x14ac:dyDescent="0.25">
      <c r="B14" s="5" t="s">
        <v>50</v>
      </c>
      <c r="C14" s="6" t="str">
        <f t="shared" si="3"/>
        <v>增加生命{0}</v>
      </c>
      <c r="D14" s="6" t="s">
        <v>64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57</v>
      </c>
    </row>
    <row r="15" spans="1:13" s="5" customFormat="1" x14ac:dyDescent="0.25">
      <c r="B15" s="5" t="s">
        <v>54</v>
      </c>
      <c r="C15" s="6" t="str">
        <f t="shared" si="3"/>
        <v>增加護盾{0}</v>
      </c>
      <c r="D15" s="6" t="s">
        <v>65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58</v>
      </c>
    </row>
    <row r="16" spans="1:13" s="5" customFormat="1" x14ac:dyDescent="0.25">
      <c r="B16" s="5" t="s">
        <v>52</v>
      </c>
      <c r="C16" s="6" t="str">
        <f t="shared" si="3"/>
        <v>增加護盾回復{0}</v>
      </c>
      <c r="D16" s="6" t="s">
        <v>66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59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67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60</v>
      </c>
    </row>
    <row r="18" spans="1:13" s="5" customFormat="1" x14ac:dyDescent="0.25">
      <c r="B18" s="5" t="s">
        <v>46</v>
      </c>
      <c r="C18" s="6" t="str">
        <f t="shared" si="3"/>
        <v>增加藥水效果{0}</v>
      </c>
      <c r="D18" s="6" t="s">
        <v>68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61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8"/>
  <sheetViews>
    <sheetView zoomScale="85" zoomScaleNormal="85" workbookViewId="0">
      <selection activeCell="I5" sqref="I5"/>
    </sheetView>
  </sheetViews>
  <sheetFormatPr defaultRowHeight="16.5" x14ac:dyDescent="0.25"/>
  <cols>
    <col min="1" max="1" width="9" customWidth="1"/>
    <col min="2" max="2" width="17.625" customWidth="1"/>
    <col min="3" max="3" width="27.25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customWidth="1"/>
    <col min="9" max="10" width="14" customWidth="1"/>
    <col min="11" max="11" width="14.125" customWidth="1"/>
    <col min="13" max="13" width="11.375" customWidth="1"/>
  </cols>
  <sheetData>
    <row r="1" spans="1:14" s="7" customFormat="1" x14ac:dyDescent="0.25">
      <c r="A1" s="7" t="s">
        <v>0</v>
      </c>
      <c r="B1" s="7" t="s">
        <v>8</v>
      </c>
      <c r="C1" s="8" t="s">
        <v>9</v>
      </c>
      <c r="D1" s="8" t="s">
        <v>103</v>
      </c>
      <c r="E1" s="8" t="s">
        <v>20</v>
      </c>
      <c r="F1" s="8" t="s">
        <v>21</v>
      </c>
      <c r="G1" s="8" t="s">
        <v>30</v>
      </c>
      <c r="H1" s="8" t="s">
        <v>114</v>
      </c>
      <c r="I1" s="8" t="s">
        <v>106</v>
      </c>
      <c r="J1" s="8" t="s">
        <v>119</v>
      </c>
      <c r="K1" s="8" t="s">
        <v>24</v>
      </c>
    </row>
    <row r="2" spans="1:14" s="7" customFormat="1" x14ac:dyDescent="0.25">
      <c r="A2" s="7" t="s">
        <v>1</v>
      </c>
      <c r="B2" s="7" t="s">
        <v>2</v>
      </c>
      <c r="C2" s="8" t="s">
        <v>3</v>
      </c>
      <c r="D2" s="8" t="s">
        <v>102</v>
      </c>
      <c r="E2" s="8" t="s">
        <v>22</v>
      </c>
      <c r="F2" s="8" t="s">
        <v>23</v>
      </c>
      <c r="G2" s="8" t="s">
        <v>29</v>
      </c>
      <c r="H2" s="8" t="s">
        <v>104</v>
      </c>
      <c r="I2" s="8" t="s">
        <v>105</v>
      </c>
      <c r="J2" s="8" t="s">
        <v>118</v>
      </c>
      <c r="K2" s="8" t="s">
        <v>15</v>
      </c>
      <c r="L2" s="7" t="s">
        <v>144</v>
      </c>
      <c r="M2" s="7" t="s">
        <v>147</v>
      </c>
      <c r="N2" s="7" t="s">
        <v>146</v>
      </c>
    </row>
    <row r="3" spans="1:14" x14ac:dyDescent="0.25">
      <c r="A3">
        <v>1</v>
      </c>
      <c r="B3" s="4" t="s">
        <v>107</v>
      </c>
      <c r="C3" s="2" t="s">
        <v>110</v>
      </c>
      <c r="D3" t="s">
        <v>95</v>
      </c>
      <c r="E3">
        <v>0.1</v>
      </c>
      <c r="F3">
        <v>0.1</v>
      </c>
      <c r="G3" t="b">
        <v>1</v>
      </c>
      <c r="H3">
        <v>10</v>
      </c>
      <c r="I3">
        <v>5</v>
      </c>
      <c r="J3">
        <v>5</v>
      </c>
      <c r="K3" t="s">
        <v>131</v>
      </c>
      <c r="L3">
        <f>E3+F3*(J3-1)</f>
        <v>0.5</v>
      </c>
      <c r="M3">
        <f>(H3+(H3+I3*(J3-1)))*J3/2</f>
        <v>100</v>
      </c>
      <c r="N3">
        <f>M3/10</f>
        <v>10</v>
      </c>
    </row>
    <row r="4" spans="1:14" x14ac:dyDescent="0.25">
      <c r="A4">
        <v>2</v>
      </c>
      <c r="B4" t="s">
        <v>117</v>
      </c>
      <c r="C4" s="2" t="s">
        <v>109</v>
      </c>
      <c r="D4" t="s">
        <v>132</v>
      </c>
      <c r="E4">
        <v>0.4</v>
      </c>
      <c r="F4">
        <v>0.4</v>
      </c>
      <c r="H4">
        <v>10</v>
      </c>
      <c r="I4">
        <v>5</v>
      </c>
      <c r="J4">
        <v>5</v>
      </c>
      <c r="K4" t="s">
        <v>93</v>
      </c>
      <c r="L4">
        <f t="shared" ref="L4:L7" si="0">E4+F4*(J4-1)</f>
        <v>2</v>
      </c>
      <c r="M4">
        <f t="shared" ref="M4:M7" si="1">(H4+(H4+I4*(J4-1)))*J4/2</f>
        <v>100</v>
      </c>
      <c r="N4">
        <f t="shared" ref="N4:N7" si="2">M4/10</f>
        <v>10</v>
      </c>
    </row>
    <row r="5" spans="1:14" x14ac:dyDescent="0.25">
      <c r="A5">
        <v>3</v>
      </c>
      <c r="B5" s="4" t="s">
        <v>113</v>
      </c>
      <c r="C5" t="s">
        <v>115</v>
      </c>
      <c r="D5" t="s">
        <v>133</v>
      </c>
      <c r="E5">
        <v>0.03</v>
      </c>
      <c r="F5">
        <v>0.03</v>
      </c>
      <c r="G5" t="b">
        <v>1</v>
      </c>
      <c r="H5">
        <v>10</v>
      </c>
      <c r="I5">
        <v>5</v>
      </c>
      <c r="J5">
        <v>5</v>
      </c>
      <c r="K5" t="s">
        <v>96</v>
      </c>
      <c r="L5">
        <f t="shared" si="0"/>
        <v>0.15</v>
      </c>
      <c r="M5">
        <f t="shared" si="1"/>
        <v>100</v>
      </c>
      <c r="N5">
        <f t="shared" si="2"/>
        <v>10</v>
      </c>
    </row>
    <row r="6" spans="1:14" x14ac:dyDescent="0.25">
      <c r="A6">
        <v>4</v>
      </c>
      <c r="B6" s="4" t="s">
        <v>111</v>
      </c>
      <c r="C6" t="s">
        <v>116</v>
      </c>
      <c r="D6" t="s">
        <v>134</v>
      </c>
      <c r="E6">
        <v>0.25</v>
      </c>
      <c r="F6">
        <v>0.1</v>
      </c>
      <c r="G6" t="b">
        <v>1</v>
      </c>
      <c r="H6">
        <v>15</v>
      </c>
      <c r="I6">
        <v>7</v>
      </c>
      <c r="J6">
        <v>5</v>
      </c>
      <c r="K6" t="s">
        <v>98</v>
      </c>
      <c r="L6">
        <f t="shared" si="0"/>
        <v>0.65</v>
      </c>
      <c r="M6">
        <f t="shared" si="1"/>
        <v>145</v>
      </c>
      <c r="N6">
        <f t="shared" si="2"/>
        <v>14.5</v>
      </c>
    </row>
    <row r="7" spans="1:14" x14ac:dyDescent="0.25">
      <c r="A7">
        <v>5</v>
      </c>
      <c r="B7" s="4" t="s">
        <v>112</v>
      </c>
      <c r="C7" s="4" t="s">
        <v>108</v>
      </c>
      <c r="D7" t="s">
        <v>135</v>
      </c>
      <c r="E7">
        <v>4</v>
      </c>
      <c r="F7">
        <v>2</v>
      </c>
      <c r="H7">
        <v>15</v>
      </c>
      <c r="I7">
        <v>7</v>
      </c>
      <c r="J7">
        <v>5</v>
      </c>
      <c r="K7" t="s">
        <v>100</v>
      </c>
      <c r="L7">
        <f t="shared" si="0"/>
        <v>12</v>
      </c>
      <c r="M7">
        <f t="shared" si="1"/>
        <v>145</v>
      </c>
      <c r="N7">
        <f t="shared" si="2"/>
        <v>14.5</v>
      </c>
    </row>
    <row r="8" spans="1:14" x14ac:dyDescent="0.25">
      <c r="A8" t="s">
        <v>4</v>
      </c>
      <c r="M8">
        <f>SUM(M3:M7)</f>
        <v>590</v>
      </c>
      <c r="N8">
        <f>SUM(N3:N7)</f>
        <v>59</v>
      </c>
    </row>
  </sheetData>
  <phoneticPr fontId="1" type="noConversion"/>
  <dataValidations count="1">
    <dataValidation type="list" allowBlank="1" showInputMessage="1" showErrorMessage="1" sqref="G1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Ref!$C$2:$C$6</xm:f>
          </x14:formula1>
          <xm:sqref>D1:D1048576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17"/>
  <sheetViews>
    <sheetView workbookViewId="0">
      <selection activeCell="D6" sqref="D2:D6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4" s="1" customFormat="1" x14ac:dyDescent="0.25">
      <c r="A1" s="3" t="s">
        <v>19</v>
      </c>
      <c r="B1" s="3" t="s">
        <v>17</v>
      </c>
      <c r="C1" s="1" t="s">
        <v>86</v>
      </c>
      <c r="D1" s="1" t="s">
        <v>87</v>
      </c>
    </row>
    <row r="2" spans="1:4" x14ac:dyDescent="0.25">
      <c r="A2" s="2" t="s">
        <v>62</v>
      </c>
      <c r="B2" s="2" t="s">
        <v>49</v>
      </c>
      <c r="C2" t="s">
        <v>95</v>
      </c>
      <c r="D2" s="4" t="s">
        <v>92</v>
      </c>
    </row>
    <row r="3" spans="1:4" x14ac:dyDescent="0.25">
      <c r="A3" s="2" t="s">
        <v>57</v>
      </c>
      <c r="B3" s="2" t="s">
        <v>51</v>
      </c>
      <c r="C3" t="s">
        <v>94</v>
      </c>
      <c r="D3" s="4" t="s">
        <v>88</v>
      </c>
    </row>
    <row r="4" spans="1:4" x14ac:dyDescent="0.25">
      <c r="A4" s="2" t="s">
        <v>58</v>
      </c>
      <c r="B4" s="2" t="s">
        <v>55</v>
      </c>
      <c r="C4" t="s">
        <v>97</v>
      </c>
      <c r="D4" s="4" t="s">
        <v>89</v>
      </c>
    </row>
    <row r="5" spans="1:4" x14ac:dyDescent="0.25">
      <c r="A5" s="2" t="s">
        <v>59</v>
      </c>
      <c r="B5" s="2" t="s">
        <v>53</v>
      </c>
      <c r="C5" t="s">
        <v>99</v>
      </c>
      <c r="D5" s="4" t="s">
        <v>90</v>
      </c>
    </row>
    <row r="6" spans="1:4" x14ac:dyDescent="0.25">
      <c r="A6" s="2" t="s">
        <v>11</v>
      </c>
      <c r="B6" s="2" t="s">
        <v>31</v>
      </c>
      <c r="C6" t="s">
        <v>101</v>
      </c>
      <c r="D6" s="4" t="s">
        <v>91</v>
      </c>
    </row>
    <row r="7" spans="1:4" x14ac:dyDescent="0.25">
      <c r="A7" s="2" t="s">
        <v>38</v>
      </c>
      <c r="B7" s="2" t="s">
        <v>35</v>
      </c>
    </row>
    <row r="8" spans="1:4" x14ac:dyDescent="0.25">
      <c r="A8" s="2" t="s">
        <v>39</v>
      </c>
      <c r="B8" s="2" t="s">
        <v>36</v>
      </c>
    </row>
    <row r="9" spans="1:4" x14ac:dyDescent="0.25">
      <c r="A9" s="2" t="s">
        <v>12</v>
      </c>
      <c r="B9" s="2" t="s">
        <v>32</v>
      </c>
    </row>
    <row r="10" spans="1:4" x14ac:dyDescent="0.25">
      <c r="A10" s="2" t="s">
        <v>80</v>
      </c>
      <c r="B10" s="2" t="s">
        <v>81</v>
      </c>
    </row>
    <row r="11" spans="1:4" x14ac:dyDescent="0.25">
      <c r="A11" s="2" t="s">
        <v>79</v>
      </c>
      <c r="B11" s="2" t="s">
        <v>5</v>
      </c>
    </row>
    <row r="12" spans="1:4" x14ac:dyDescent="0.25">
      <c r="A12" s="2" t="s">
        <v>13</v>
      </c>
      <c r="B12" s="2" t="s">
        <v>6</v>
      </c>
    </row>
    <row r="13" spans="1:4" x14ac:dyDescent="0.25">
      <c r="A13" s="2" t="s">
        <v>14</v>
      </c>
      <c r="B13" s="2" t="s">
        <v>33</v>
      </c>
    </row>
    <row r="14" spans="1:4" x14ac:dyDescent="0.25">
      <c r="A14" s="2" t="s">
        <v>40</v>
      </c>
      <c r="B14" s="2" t="s">
        <v>7</v>
      </c>
    </row>
    <row r="15" spans="1:4" x14ac:dyDescent="0.25">
      <c r="A15" s="2" t="s">
        <v>60</v>
      </c>
      <c r="B15" s="2" t="s">
        <v>45</v>
      </c>
    </row>
    <row r="16" spans="1:4" x14ac:dyDescent="0.25">
      <c r="A16" s="2" t="s">
        <v>61</v>
      </c>
      <c r="B16" s="2" t="s">
        <v>47</v>
      </c>
    </row>
    <row r="17" spans="1:2" x14ac:dyDescent="0.25">
      <c r="A17" s="2" t="s">
        <v>37</v>
      </c>
      <c r="B17" s="2" t="s">
        <v>34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2</vt:i4>
      </vt:variant>
    </vt:vector>
  </HeadingPairs>
  <TitlesOfParts>
    <vt:vector size="5" baseType="lpstr">
      <vt:lpstr>Strengthen</vt:lpstr>
      <vt:lpstr>Enchant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2018-11-15T08:39:34Z</dcterms:modified>
</cp:coreProperties>
</file>