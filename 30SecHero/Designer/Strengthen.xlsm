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960" windowWidth="14805" windowHeight="7155" activeTab="1"/>
  </bookViews>
  <sheets>
    <sheet name="Strengthen" sheetId="1" r:id="rId1"/>
    <sheet name="Enchant" sheetId="6" r:id="rId2"/>
    <sheet name="Ref" sheetId="5" r:id="rId3"/>
  </sheets>
  <functionGroups builtInGroupCount="17"/>
  <externalReferences>
    <externalReference r:id="rId4"/>
  </externalReferences>
  <definedNames>
    <definedName name="_xlnm._FilterDatabase" localSheetId="0" hidden="1">Strengthen!$A$1:$B$13</definedName>
    <definedName name="ArmorType">#REF!</definedName>
    <definedName name="CostType">#REF!</definedName>
    <definedName name="DefaultOwn">[1]Defined!$C$2:$C$3</definedName>
    <definedName name="Difficult">#REF!</definedName>
    <definedName name="MaxEventNum">#REF!</definedName>
    <definedName name="MaxMember">#REF!</definedName>
    <definedName name="MinEventNum">#REF!</definedName>
    <definedName name="MinMember">#REF!</definedName>
    <definedName name="ProjectRef">#REF!</definedName>
    <definedName name="Rare">#REF!</definedName>
    <definedName name="RewardType">#REF!</definedName>
    <definedName name="TargetType">Ref!$A$2:$A$3</definedName>
    <definedName name="TriggerType">Ref!$C$2:$C$4</definedName>
    <definedName name="WeaponType">#REF!</definedName>
  </definedNames>
  <calcPr calcId="144525"/>
</workbook>
</file>

<file path=xl/calcChain.xml><?xml version="1.0" encoding="utf-8"?>
<calcChain xmlns="http://schemas.openxmlformats.org/spreadsheetml/2006/main">
  <c r="M4" i="1" l="1"/>
  <c r="M5" i="1"/>
  <c r="M6" i="1"/>
  <c r="M7" i="1"/>
  <c r="M8" i="1"/>
  <c r="M9" i="1"/>
  <c r="M10" i="1"/>
  <c r="M11" i="1"/>
  <c r="M12" i="1"/>
  <c r="M3" i="1"/>
  <c r="M4" i="6"/>
  <c r="M5" i="6"/>
  <c r="M6" i="6"/>
  <c r="M7" i="6"/>
  <c r="M3" i="6"/>
  <c r="N3" i="6" l="1"/>
  <c r="L3" i="6"/>
  <c r="N7" i="6"/>
  <c r="L7" i="6"/>
  <c r="N6" i="6"/>
  <c r="L6" i="6"/>
  <c r="N5" i="6"/>
  <c r="L5" i="6"/>
  <c r="N4" i="6"/>
  <c r="L4" i="6"/>
  <c r="L4" i="1"/>
  <c r="L5" i="1"/>
  <c r="L6" i="1"/>
  <c r="L7" i="1"/>
  <c r="L8" i="1"/>
  <c r="L9" i="1"/>
  <c r="L10" i="1"/>
  <c r="L11" i="1"/>
  <c r="L12" i="1"/>
  <c r="L3" i="1"/>
  <c r="M19" i="1" l="1"/>
  <c r="M8" i="6"/>
  <c r="N8" i="6"/>
  <c r="C17" i="1"/>
  <c r="C18" i="1"/>
  <c r="C14" i="1"/>
  <c r="C15" i="1"/>
  <c r="C16" i="1"/>
  <c r="C3" i="1"/>
  <c r="C4" i="1"/>
  <c r="C13" i="1"/>
</calcChain>
</file>

<file path=xl/sharedStrings.xml><?xml version="1.0" encoding="utf-8"?>
<sst xmlns="http://schemas.openxmlformats.org/spreadsheetml/2006/main" count="263" uniqueCount="239">
  <si>
    <t>ID</t>
    <phoneticPr fontId="1" type="noConversion"/>
  </si>
  <si>
    <t>編號</t>
    <phoneticPr fontId="1" type="noConversion"/>
  </si>
  <si>
    <t>名稱</t>
    <phoneticPr fontId="1" type="noConversion"/>
  </si>
  <si>
    <t>描述</t>
    <phoneticPr fontId="1" type="noConversion"/>
  </si>
  <si>
    <t>End</t>
    <phoneticPr fontId="1" type="noConversion"/>
  </si>
  <si>
    <t>怪物強化時間</t>
  </si>
  <si>
    <t>怪物強化掉落</t>
  </si>
  <si>
    <t>金錢數量</t>
  </si>
  <si>
    <t>Name_</t>
    <phoneticPr fontId="1" type="noConversion"/>
  </si>
  <si>
    <t>Description_</t>
    <phoneticPr fontId="1" type="noConversion"/>
  </si>
  <si>
    <t>變身時間</t>
  </si>
  <si>
    <t>MoveSpeed</t>
  </si>
  <si>
    <t>AvatarTime</t>
  </si>
  <si>
    <t>SkillDrop</t>
  </si>
  <si>
    <t>EquipDrop</t>
  </si>
  <si>
    <t>Icon圖</t>
    <phoneticPr fontId="1" type="noConversion"/>
  </si>
  <si>
    <t>強化類型</t>
  </si>
  <si>
    <t>強化類型</t>
    <phoneticPr fontId="1" type="noConversion"/>
  </si>
  <si>
    <t>StrengthenType</t>
  </si>
  <si>
    <t>StrengthenType</t>
    <phoneticPr fontId="1" type="noConversion"/>
  </si>
  <si>
    <t>BaseValue</t>
    <phoneticPr fontId="1" type="noConversion"/>
  </si>
  <si>
    <t>LevelUpValue</t>
    <phoneticPr fontId="1" type="noConversion"/>
  </si>
  <si>
    <t>基礎數值</t>
    <phoneticPr fontId="1" type="noConversion"/>
  </si>
  <si>
    <t>升級數值</t>
    <phoneticPr fontId="1" type="noConversion"/>
  </si>
  <si>
    <t>Icon</t>
    <phoneticPr fontId="1" type="noConversion"/>
  </si>
  <si>
    <t>基礎金幣</t>
    <phoneticPr fontId="1" type="noConversion"/>
  </si>
  <si>
    <t>升級金幣</t>
    <phoneticPr fontId="1" type="noConversion"/>
  </si>
  <si>
    <t>BaseGold</t>
    <phoneticPr fontId="1" type="noConversion"/>
  </si>
  <si>
    <t>LevelUpGold</t>
    <phoneticPr fontId="1" type="noConversion"/>
  </si>
  <si>
    <t>顯示成百分比</t>
    <phoneticPr fontId="1" type="noConversion"/>
  </si>
  <si>
    <t>ShowPercentage</t>
    <phoneticPr fontId="1" type="noConversion"/>
  </si>
  <si>
    <t>移速增加</t>
    <phoneticPr fontId="1" type="noConversion"/>
  </si>
  <si>
    <t>變身時間</t>
    <phoneticPr fontId="1" type="noConversion"/>
  </si>
  <si>
    <t>裝備掉落</t>
    <phoneticPr fontId="1" type="noConversion"/>
  </si>
  <si>
    <t>藥水掉落</t>
    <phoneticPr fontId="1" type="noConversion"/>
  </si>
  <si>
    <t>移動速度上限</t>
    <phoneticPr fontId="1" type="noConversion"/>
  </si>
  <si>
    <t>移速衰減</t>
    <phoneticPr fontId="1" type="noConversion"/>
  </si>
  <si>
    <t>PotionDrop</t>
  </si>
  <si>
    <t>MaxMoveSpeed</t>
  </si>
  <si>
    <t>MoveDecay</t>
  </si>
  <si>
    <t>GoldDrop</t>
  </si>
  <si>
    <t>MoveSpeed</t>
    <phoneticPr fontId="1" type="noConversion"/>
  </si>
  <si>
    <t>MaxMoveSpeed</t>
    <phoneticPr fontId="1" type="noConversion"/>
  </si>
  <si>
    <t>SkillDrop</t>
    <phoneticPr fontId="1" type="noConversion"/>
  </si>
  <si>
    <t>吸血</t>
  </si>
  <si>
    <t>吸血</t>
    <phoneticPr fontId="1" type="noConversion"/>
  </si>
  <si>
    <t>藥水效果</t>
  </si>
  <si>
    <t>藥水效果</t>
    <phoneticPr fontId="1" type="noConversion"/>
  </si>
  <si>
    <t>力量</t>
  </si>
  <si>
    <t>力量</t>
    <phoneticPr fontId="1" type="noConversion"/>
  </si>
  <si>
    <t>生命</t>
  </si>
  <si>
    <t>生命</t>
    <phoneticPr fontId="1" type="noConversion"/>
  </si>
  <si>
    <t>護盾回復</t>
  </si>
  <si>
    <t>護盾回復</t>
    <phoneticPr fontId="1" type="noConversion"/>
  </si>
  <si>
    <t>護盾</t>
  </si>
  <si>
    <t>護盾</t>
    <phoneticPr fontId="1" type="noConversion"/>
  </si>
  <si>
    <t>Strength</t>
  </si>
  <si>
    <t>Health</t>
  </si>
  <si>
    <t>Shield</t>
  </si>
  <si>
    <t>ShieldRecovery</t>
  </si>
  <si>
    <t>BloodThirsty</t>
  </si>
  <si>
    <t>PotionEfficiency</t>
  </si>
  <si>
    <t>Strength</t>
    <phoneticPr fontId="1" type="noConversion"/>
  </si>
  <si>
    <t>Strength</t>
    <phoneticPr fontId="1" type="noConversion"/>
  </si>
  <si>
    <t>Health</t>
    <phoneticPr fontId="1" type="noConversion"/>
  </si>
  <si>
    <t>Shield</t>
    <phoneticPr fontId="1" type="noConversion"/>
  </si>
  <si>
    <t>ShieldRecovery</t>
    <phoneticPr fontId="1" type="noConversion"/>
  </si>
  <si>
    <t>BloodThirsty</t>
    <phoneticPr fontId="1" type="noConversion"/>
  </si>
  <si>
    <t>PotionEfficiency</t>
    <phoneticPr fontId="1" type="noConversion"/>
  </si>
  <si>
    <t>MaxMoveSpeed</t>
    <phoneticPr fontId="1" type="noConversion"/>
  </si>
  <si>
    <t>MoveSpeed</t>
    <phoneticPr fontId="1" type="noConversion"/>
  </si>
  <si>
    <t>MoveDecay</t>
    <phoneticPr fontId="1" type="noConversion"/>
  </si>
  <si>
    <t>AvatarTime</t>
    <phoneticPr fontId="1" type="noConversion"/>
  </si>
  <si>
    <t>SkillDrop</t>
    <phoneticPr fontId="1" type="noConversion"/>
  </si>
  <si>
    <t>GoldDrop</t>
    <phoneticPr fontId="1" type="noConversion"/>
  </si>
  <si>
    <t>EquipDrop</t>
    <phoneticPr fontId="1" type="noConversion"/>
  </si>
  <si>
    <t>PotionDrop</t>
    <phoneticPr fontId="1" type="noConversion"/>
  </si>
  <si>
    <t>AvatarTime</t>
    <phoneticPr fontId="1" type="noConversion"/>
  </si>
  <si>
    <t>SkillTimeBuff</t>
  </si>
  <si>
    <t>SkillTimeBuff</t>
    <phoneticPr fontId="1" type="noConversion"/>
  </si>
  <si>
    <t>AvatarPotionBuff</t>
    <phoneticPr fontId="1" type="noConversion"/>
  </si>
  <si>
    <t>變身掉落時間強化</t>
    <phoneticPr fontId="1" type="noConversion"/>
  </si>
  <si>
    <t>變身藥水時間</t>
    <phoneticPr fontId="1" type="noConversion"/>
  </si>
  <si>
    <t>藥水掉落機率</t>
    <phoneticPr fontId="1" type="noConversion"/>
  </si>
  <si>
    <t>SkillTime</t>
    <phoneticPr fontId="1" type="noConversion"/>
  </si>
  <si>
    <t>AvatarPotionBuff</t>
    <phoneticPr fontId="1" type="noConversion"/>
  </si>
  <si>
    <t>EnchantType</t>
    <phoneticPr fontId="1" type="noConversion"/>
  </si>
  <si>
    <t>附魔類型</t>
    <phoneticPr fontId="1" type="noConversion"/>
  </si>
  <si>
    <t>減少衝刺的CD時間</t>
    <phoneticPr fontId="3" type="noConversion"/>
  </si>
  <si>
    <t>一段時間沒有受到傷害可持續回血，受到傷害後取消</t>
    <phoneticPr fontId="3" type="noConversion"/>
  </si>
  <si>
    <t>刀子有機率附加隨機元素屬性</t>
    <phoneticPr fontId="3" type="noConversion"/>
  </si>
  <si>
    <t>護盾破碎時有機率放出暈眩衝擊波</t>
    <phoneticPr fontId="3" type="noConversion"/>
  </si>
  <si>
    <t>使用刀子殺死怪物機率掉落50%額外金錢</t>
    <phoneticPr fontId="3" type="noConversion"/>
  </si>
  <si>
    <t>RushCDResuce</t>
  </si>
  <si>
    <t>RushCDResuce</t>
    <phoneticPr fontId="1" type="noConversion"/>
  </si>
  <si>
    <t>ExtralGoldDrop</t>
    <phoneticPr fontId="1" type="noConversion"/>
  </si>
  <si>
    <t>NoDamageRecovery</t>
  </si>
  <si>
    <t>NoDamageRecovery</t>
    <phoneticPr fontId="1" type="noConversion"/>
  </si>
  <si>
    <t>ElementalAttack</t>
  </si>
  <si>
    <t>ElementalAttack</t>
    <phoneticPr fontId="1" type="noConversion"/>
  </si>
  <si>
    <t>ShockWave</t>
  </si>
  <si>
    <t>ShockWave</t>
    <phoneticPr fontId="1" type="noConversion"/>
  </si>
  <si>
    <t>附魔類型</t>
    <phoneticPr fontId="1" type="noConversion"/>
  </si>
  <si>
    <t>EnchantType</t>
    <phoneticPr fontId="1" type="noConversion"/>
  </si>
  <si>
    <t>基礎寶石</t>
    <phoneticPr fontId="1" type="noConversion"/>
  </si>
  <si>
    <t>升級寶石</t>
    <phoneticPr fontId="1" type="noConversion"/>
  </si>
  <si>
    <t>LevelUpEmerald</t>
    <phoneticPr fontId="1" type="noConversion"/>
  </si>
  <si>
    <t>獎金獵人</t>
    <phoneticPr fontId="3" type="noConversion"/>
  </si>
  <si>
    <t>護盾回滿後被打碎時會放出冰凍衝擊波，冰凍效果持續{0}秒</t>
    <phoneticPr fontId="3" type="noConversion"/>
  </si>
  <si>
    <t>衝刺冷卻時間減少{0}秒</t>
    <phoneticPr fontId="1" type="noConversion"/>
  </si>
  <si>
    <t>刀子擊殺有額外{0}機率掉落金幣</t>
    <phoneticPr fontId="1" type="noConversion"/>
  </si>
  <si>
    <t>元素大師</t>
    <phoneticPr fontId="1" type="noConversion"/>
  </si>
  <si>
    <t>冰風暴</t>
    <phoneticPr fontId="1" type="noConversion"/>
  </si>
  <si>
    <t>BaseEmerald</t>
    <phoneticPr fontId="1" type="noConversion"/>
  </si>
  <si>
    <t>5秒沒受到傷害，持續回復{0}血量</t>
    <phoneticPr fontId="1" type="noConversion"/>
  </si>
  <si>
    <t>暴走族</t>
    <phoneticPr fontId="1" type="noConversion"/>
  </si>
  <si>
    <t>最高等級</t>
    <phoneticPr fontId="1" type="noConversion"/>
  </si>
  <si>
    <t>MaxLevel</t>
    <phoneticPr fontId="1" type="noConversion"/>
  </si>
  <si>
    <t>MoveDecay</t>
    <phoneticPr fontId="1" type="noConversion"/>
  </si>
  <si>
    <t>延長殺怪加速的持續時間{0}秒</t>
    <phoneticPr fontId="1" type="noConversion"/>
  </si>
  <si>
    <t>AvatarPotionBuff</t>
    <phoneticPr fontId="1" type="noConversion"/>
  </si>
  <si>
    <t>變身藥水獲得時間增加{0}秒</t>
    <phoneticPr fontId="1" type="noConversion"/>
  </si>
  <si>
    <t>增加遊戲開始時的變身時間{0}秒</t>
    <phoneticPr fontId="1" type="noConversion"/>
  </si>
  <si>
    <t>增加怪物魂掉落機率{0}</t>
    <phoneticPr fontId="1" type="noConversion"/>
  </si>
  <si>
    <t>EquipDrop</t>
    <phoneticPr fontId="1" type="noConversion"/>
  </si>
  <si>
    <t>GoldDrop</t>
    <phoneticPr fontId="1" type="noConversion"/>
  </si>
  <si>
    <t>金錢數量</t>
    <phoneticPr fontId="1" type="noConversion"/>
  </si>
  <si>
    <t>增加藥水掉落機率{0}</t>
    <phoneticPr fontId="1" type="noConversion"/>
  </si>
  <si>
    <t>PotionDrop</t>
    <phoneticPr fontId="1" type="noConversion"/>
  </si>
  <si>
    <t>ExtralGoldDrop</t>
    <phoneticPr fontId="1" type="noConversion"/>
  </si>
  <si>
    <t>RushCDResuce</t>
    <phoneticPr fontId="1" type="noConversion"/>
  </si>
  <si>
    <t>NoDamageRecovery</t>
    <phoneticPr fontId="1" type="noConversion"/>
  </si>
  <si>
    <t>ElementalAttack</t>
    <phoneticPr fontId="1" type="noConversion"/>
  </si>
  <si>
    <t>ShockWave</t>
    <phoneticPr fontId="1" type="noConversion"/>
  </si>
  <si>
    <t>裝備掉落</t>
    <phoneticPr fontId="1" type="noConversion"/>
  </si>
  <si>
    <t>怪物魂掉落機率</t>
    <phoneticPr fontId="1" type="noConversion"/>
  </si>
  <si>
    <t>怪物魂時間</t>
    <phoneticPr fontId="1" type="noConversion"/>
  </si>
  <si>
    <t>增加怪物魂持續時間{0}秒</t>
    <phoneticPr fontId="1" type="noConversion"/>
  </si>
  <si>
    <t>持續加速</t>
    <phoneticPr fontId="1" type="noConversion"/>
  </si>
  <si>
    <t>移動速度增加</t>
    <phoneticPr fontId="1" type="noConversion"/>
  </si>
  <si>
    <t>加速上限</t>
    <phoneticPr fontId="1" type="noConversion"/>
  </si>
  <si>
    <t>增加擊殺怪物獲得金幣{0}</t>
    <phoneticPr fontId="1" type="noConversion"/>
  </si>
  <si>
    <t>最高值</t>
    <phoneticPr fontId="1" type="noConversion"/>
  </si>
  <si>
    <t>花費金幣</t>
    <phoneticPr fontId="1" type="noConversion"/>
  </si>
  <si>
    <t>美金</t>
    <phoneticPr fontId="1" type="noConversion"/>
  </si>
  <si>
    <t>總花費寶石</t>
    <phoneticPr fontId="1" type="noConversion"/>
  </si>
  <si>
    <t>增加高品質裝備掉落運氣{0}</t>
    <phoneticPr fontId="1" type="noConversion"/>
  </si>
  <si>
    <t>被攻擊有機會反彈子彈</t>
    <phoneticPr fontId="1" type="noConversion"/>
  </si>
  <si>
    <t>衝刺增加傷害</t>
    <phoneticPr fontId="1" type="noConversion"/>
  </si>
  <si>
    <t>變回史萊姆無敵時間變長</t>
    <phoneticPr fontId="1" type="noConversion"/>
  </si>
  <si>
    <t>視野增加</t>
    <phoneticPr fontId="1" type="noConversion"/>
  </si>
  <si>
    <t>燈塔</t>
    <phoneticPr fontId="1" type="noConversion"/>
  </si>
  <si>
    <t>苟延殘喘</t>
    <phoneticPr fontId="1" type="noConversion"/>
  </si>
  <si>
    <t>無堅不摧</t>
    <phoneticPr fontId="1" type="noConversion"/>
  </si>
  <si>
    <t>以牙還牙</t>
    <phoneticPr fontId="1" type="noConversion"/>
  </si>
  <si>
    <t>格擋</t>
    <phoneticPr fontId="1" type="noConversion"/>
  </si>
  <si>
    <t>牧羊人</t>
    <phoneticPr fontId="1" type="noConversion"/>
  </si>
  <si>
    <t>怪物靈魂照亮視野增加</t>
    <phoneticPr fontId="1" type="noConversion"/>
  </si>
  <si>
    <t>僻毒</t>
    <phoneticPr fontId="1" type="noConversion"/>
  </si>
  <si>
    <t>耐火</t>
    <phoneticPr fontId="1" type="noConversion"/>
  </si>
  <si>
    <t>禦寒</t>
    <phoneticPr fontId="1" type="noConversion"/>
  </si>
  <si>
    <t>減少30%燃燒受到的傷害</t>
    <phoneticPr fontId="1" type="noConversion"/>
  </si>
  <si>
    <t>冰凍時減少30%移動速度降低量</t>
    <phoneticPr fontId="1" type="noConversion"/>
  </si>
  <si>
    <t>中毒時減少30%降低的傷害量</t>
    <phoneticPr fontId="1" type="noConversion"/>
  </si>
  <si>
    <t>副作用</t>
    <phoneticPr fontId="1" type="noConversion"/>
  </si>
  <si>
    <t>煉金術</t>
    <phoneticPr fontId="1" type="noConversion"/>
  </si>
  <si>
    <t>獲得藥水時額外獲得金幣</t>
    <phoneticPr fontId="1" type="noConversion"/>
  </si>
  <si>
    <t>突變</t>
    <phoneticPr fontId="1" type="noConversion"/>
  </si>
  <si>
    <t>變回史萊姆時，獲得額外移動速度</t>
    <phoneticPr fontId="1" type="noConversion"/>
  </si>
  <si>
    <t>中和魔法</t>
    <phoneticPr fontId="1" type="noConversion"/>
  </si>
  <si>
    <t>火力全開</t>
    <phoneticPr fontId="1" type="noConversion"/>
  </si>
  <si>
    <t>怪物技能攻擊週期減少0.2秒</t>
    <phoneticPr fontId="1" type="noConversion"/>
  </si>
  <si>
    <t>灼熱踐踏</t>
    <phoneticPr fontId="1" type="noConversion"/>
  </si>
  <si>
    <t>堅毅</t>
    <phoneticPr fontId="1" type="noConversion"/>
  </si>
  <si>
    <t>降低暈眩時間0.1秒</t>
    <phoneticPr fontId="1" type="noConversion"/>
  </si>
  <si>
    <t>衝刺後地上留下可造成燃燒的區域持續3秒</t>
    <phoneticPr fontId="1" type="noConversion"/>
  </si>
  <si>
    <t>危機意識</t>
    <phoneticPr fontId="1" type="noConversion"/>
  </si>
  <si>
    <t>瀕臨死亡時重新展開護盾</t>
    <phoneticPr fontId="1" type="noConversion"/>
  </si>
  <si>
    <t>重踏</t>
    <phoneticPr fontId="1" type="noConversion"/>
  </si>
  <si>
    <t>每20秒重踏地面造成傷害</t>
    <phoneticPr fontId="1" type="noConversion"/>
  </si>
  <si>
    <t>落雷</t>
    <phoneticPr fontId="1" type="noConversion"/>
  </si>
  <si>
    <t>每17秒對最近的1名目標打雷造成暈眩</t>
    <phoneticPr fontId="1" type="noConversion"/>
  </si>
  <si>
    <t>對最近目標施放追蹤電磁砲</t>
    <phoneticPr fontId="1" type="noConversion"/>
  </si>
  <si>
    <t>電磁砲</t>
    <phoneticPr fontId="1" type="noConversion"/>
  </si>
  <si>
    <t>蒐集者</t>
    <phoneticPr fontId="1" type="noConversion"/>
  </si>
  <si>
    <t>自動吸引藥水</t>
    <phoneticPr fontId="1" type="noConversion"/>
  </si>
  <si>
    <t>藥劑師</t>
    <phoneticPr fontId="1" type="noConversion"/>
  </si>
  <si>
    <t>喝藥水時解除負面狀態</t>
    <phoneticPr fontId="1" type="noConversion"/>
  </si>
  <si>
    <t>過敏體質</t>
    <phoneticPr fontId="1" type="noConversion"/>
  </si>
  <si>
    <t>藥水效果持續時間+1秒</t>
    <phoneticPr fontId="1" type="noConversion"/>
  </si>
  <si>
    <t>長手族</t>
    <phoneticPr fontId="1" type="noConversion"/>
  </si>
  <si>
    <t>刀子攻擊距離增加10%</t>
    <phoneticPr fontId="1" type="noConversion"/>
  </si>
  <si>
    <t>燃燒武器</t>
    <phoneticPr fontId="1" type="noConversion"/>
  </si>
  <si>
    <t>淬毒武器</t>
    <phoneticPr fontId="1" type="noConversion"/>
  </si>
  <si>
    <t>刀子有{0}機率附帶隨機元素效果</t>
    <phoneticPr fontId="1" type="noConversion"/>
  </si>
  <si>
    <t>刀子有{0}機率附帶燃燒效果</t>
    <phoneticPr fontId="1" type="noConversion"/>
  </si>
  <si>
    <t>刀子有{0}機率附帶中毒效果</t>
    <phoneticPr fontId="1" type="noConversion"/>
  </si>
  <si>
    <t>刀子有{0}機率附帶冷凍效果</t>
    <phoneticPr fontId="1" type="noConversion"/>
  </si>
  <si>
    <t>冷凍武器</t>
    <phoneticPr fontId="1" type="noConversion"/>
  </si>
  <si>
    <t>每15秒向最近的敵方射出光束</t>
    <phoneticPr fontId="1" type="noConversion"/>
  </si>
  <si>
    <t>電光眼</t>
    <phoneticPr fontId="1" type="noConversion"/>
  </si>
  <si>
    <t>飛濺針刺</t>
    <phoneticPr fontId="1" type="noConversion"/>
  </si>
  <si>
    <t>質量守恆</t>
    <phoneticPr fontId="1" type="noConversion"/>
  </si>
  <si>
    <t>動能守恆</t>
    <phoneticPr fontId="1" type="noConversion"/>
  </si>
  <si>
    <t>被攻擊導致擊退後恢復5%護盾</t>
    <phoneticPr fontId="1" type="noConversion"/>
  </si>
  <si>
    <t>護盾存在時受到元素攻擊不會受到元素狀態影響，並恢復5%護盾</t>
    <phoneticPr fontId="1" type="noConversion"/>
  </si>
  <si>
    <t>同時遭受冰凍與燃燒效果時，移除狀態效果</t>
    <phoneticPr fontId="1" type="noConversion"/>
  </si>
  <si>
    <t>喝下藥水後在走過的路徑上留下惡臭</t>
    <phoneticPr fontId="1" type="noConversion"/>
  </si>
  <si>
    <t>獲得裝備時朝最近敵方投出裝備</t>
    <phoneticPr fontId="1" type="noConversion"/>
  </si>
  <si>
    <t>裝備投擲</t>
    <phoneticPr fontId="1" type="noConversion"/>
  </si>
  <si>
    <t>解除化身時向四周發射飛針</t>
    <phoneticPr fontId="1" type="noConversion"/>
  </si>
  <si>
    <t>凱旋</t>
    <phoneticPr fontId="1" type="noConversion"/>
  </si>
  <si>
    <t>衝撞城門後獲得額外5秒變身時間</t>
    <phoneticPr fontId="1" type="noConversion"/>
  </si>
  <si>
    <t>走火入魔</t>
    <phoneticPr fontId="1" type="noConversion"/>
  </si>
  <si>
    <t>燃燒狀態時，走過路徑留下高溫火焰</t>
    <phoneticPr fontId="1" type="noConversion"/>
  </si>
  <si>
    <t>火球</t>
    <phoneticPr fontId="1" type="noConversion"/>
  </si>
  <si>
    <t>冰刨</t>
    <phoneticPr fontId="1" type="noConversion"/>
  </si>
  <si>
    <t>毒液</t>
    <phoneticPr fontId="1" type="noConversion"/>
  </si>
  <si>
    <t>每13秒向最近的敵方射出火球</t>
    <phoneticPr fontId="1" type="noConversion"/>
  </si>
  <si>
    <t>每13秒向最近的敵方射出冰刨</t>
    <phoneticPr fontId="1" type="noConversion"/>
  </si>
  <si>
    <t>每13秒向最近的敵方射出毒液</t>
    <phoneticPr fontId="1" type="noConversion"/>
  </si>
  <si>
    <t>骨刺</t>
    <phoneticPr fontId="1" type="noConversion"/>
  </si>
  <si>
    <t>每10秒向最近的敵方射出骨刺</t>
    <phoneticPr fontId="1" type="noConversion"/>
  </si>
  <si>
    <t>寒冰甲</t>
    <phoneticPr fontId="1" type="noConversion"/>
  </si>
  <si>
    <t>冰凍時受到傷害降低20%</t>
    <phoneticPr fontId="1" type="noConversion"/>
  </si>
  <si>
    <t>毒癮</t>
    <phoneticPr fontId="1" type="noConversion"/>
  </si>
  <si>
    <t>中毒時移動速度上升100</t>
    <phoneticPr fontId="1" type="noConversion"/>
  </si>
  <si>
    <t>連續受到攻擊後自身爆破造成周圍敵人傷害</t>
    <phoneticPr fontId="1" type="noConversion"/>
  </si>
  <si>
    <t>過度膨脹</t>
    <phoneticPr fontId="1" type="noConversion"/>
  </si>
  <si>
    <t>天搖地動</t>
    <phoneticPr fontId="1" type="noConversion"/>
  </si>
  <si>
    <t>衝刺撞牆時，召喚落石</t>
    <phoneticPr fontId="1" type="noConversion"/>
  </si>
  <si>
    <t>慣性</t>
    <phoneticPr fontId="1" type="noConversion"/>
  </si>
  <si>
    <t>衝刺後移動速度上升50</t>
    <phoneticPr fontId="1" type="noConversion"/>
  </si>
  <si>
    <t>投擲巨石</t>
    <phoneticPr fontId="1" type="noConversion"/>
  </si>
  <si>
    <t>每15秒向最近的敵方射出巨石</t>
    <phoneticPr fontId="1" type="noConversion"/>
  </si>
  <si>
    <t>每20秒產生一道護罩持續3秒</t>
    <phoneticPr fontId="1" type="noConversion"/>
  </si>
  <si>
    <t>再生</t>
  </si>
  <si>
    <t>包紮</t>
    <phoneticPr fontId="3" type="noConversion"/>
  </si>
  <si>
    <t>每10秒恢復一定血量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</si>
</sst>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0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2"/>
      <color theme="1"/>
      <name val="新細明體"/>
      <family val="1"/>
      <charset val="136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2" fillId="3" borderId="0" xfId="0" applyFont="1" applyFill="1"/>
    <xf numFmtId="0" fontId="0" fillId="0" borderId="0" xfId="0" applyAlignment="1">
      <alignment horizontal="left"/>
    </xf>
    <xf numFmtId="0" fontId="2" fillId="3" borderId="0" xfId="0" applyFont="1" applyFill="1" applyAlignment="1">
      <alignment horizontal="left"/>
    </xf>
    <xf numFmtId="0" fontId="0" fillId="0" borderId="0" xfId="0" applyAlignment="1">
      <alignment vertical="center"/>
    </xf>
    <xf numFmtId="0" fontId="0" fillId="4" borderId="0" xfId="0" applyFill="1"/>
    <xf numFmtId="0" fontId="0" fillId="4" borderId="0" xfId="0" applyFill="1" applyAlignment="1">
      <alignment horizontal="left"/>
    </xf>
    <xf numFmtId="0" fontId="4" fillId="2" borderId="0" xfId="0" applyFont="1" applyFill="1"/>
    <xf numFmtId="0" fontId="4" fillId="2" borderId="0" xfId="0" applyFont="1" applyFill="1" applyAlignment="1">
      <alignment horizontal="left"/>
    </xf>
    <xf numFmtId="0" fontId="4" fillId="0" borderId="0" xfId="0" applyFont="1" applyAlignment="1">
      <alignment vertical="center"/>
    </xf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"/>
      <sheetName val="Defined"/>
    </sheetNames>
    <sheetDataSet>
      <sheetData sheetId="0"/>
      <sheetData sheetId="1">
        <row r="2">
          <cell r="C2" t="b">
            <v>1</v>
          </cell>
        </row>
        <row r="3">
          <cell r="C3" t="b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M19"/>
  <sheetViews>
    <sheetView zoomScale="80" zoomScaleNormal="8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10" sqref="C10"/>
    </sheetView>
  </sheetViews>
  <sheetFormatPr defaultRowHeight="16.5" x14ac:dyDescent="0.25"/>
  <cols>
    <col min="2" max="2" width="14" customWidth="1"/>
    <col min="3" max="3" width="24.25" style="2" customWidth="1"/>
    <col min="4" max="4" width="19.5" style="2" customWidth="1"/>
    <col min="5" max="5" width="9.625" style="2" customWidth="1"/>
    <col min="6" max="6" width="13.375" style="2" customWidth="1"/>
    <col min="7" max="7" width="13.625" style="2" customWidth="1"/>
    <col min="8" max="8" width="10.5" style="2" customWidth="1"/>
    <col min="9" max="9" width="13.375" style="2" customWidth="1"/>
    <col min="10" max="10" width="14" customWidth="1"/>
    <col min="11" max="11" width="19.5" style="2" customWidth="1"/>
    <col min="12" max="17" width="19.5" customWidth="1"/>
    <col min="18" max="18" width="20" customWidth="1"/>
    <col min="19" max="19" width="17.75" customWidth="1"/>
    <col min="20" max="20" width="14.625" customWidth="1"/>
    <col min="21" max="21" width="13.875" customWidth="1"/>
    <col min="22" max="22" width="6.75" customWidth="1"/>
    <col min="23" max="23" width="19.625" customWidth="1"/>
    <col min="24" max="24" width="20" customWidth="1"/>
  </cols>
  <sheetData>
    <row r="1" spans="1:13" s="7" customFormat="1" x14ac:dyDescent="0.25">
      <c r="A1" s="7" t="s">
        <v>0</v>
      </c>
      <c r="B1" s="7" t="s">
        <v>8</v>
      </c>
      <c r="C1" s="8" t="s">
        <v>9</v>
      </c>
      <c r="D1" s="8" t="s">
        <v>18</v>
      </c>
      <c r="E1" s="8" t="s">
        <v>20</v>
      </c>
      <c r="F1" s="8" t="s">
        <v>21</v>
      </c>
      <c r="G1" s="8" t="s">
        <v>30</v>
      </c>
      <c r="H1" s="8" t="s">
        <v>27</v>
      </c>
      <c r="I1" s="8" t="s">
        <v>28</v>
      </c>
      <c r="J1" s="8" t="s">
        <v>117</v>
      </c>
      <c r="K1" s="8" t="s">
        <v>24</v>
      </c>
    </row>
    <row r="2" spans="1:13" s="7" customFormat="1" x14ac:dyDescent="0.25">
      <c r="A2" s="7" t="s">
        <v>1</v>
      </c>
      <c r="B2" s="7" t="s">
        <v>2</v>
      </c>
      <c r="C2" s="8" t="s">
        <v>3</v>
      </c>
      <c r="D2" s="8" t="s">
        <v>16</v>
      </c>
      <c r="E2" s="8" t="s">
        <v>22</v>
      </c>
      <c r="F2" s="8" t="s">
        <v>23</v>
      </c>
      <c r="G2" s="8" t="s">
        <v>29</v>
      </c>
      <c r="H2" s="8" t="s">
        <v>25</v>
      </c>
      <c r="I2" s="8" t="s">
        <v>26</v>
      </c>
      <c r="J2" s="8" t="s">
        <v>116</v>
      </c>
      <c r="K2" s="8" t="s">
        <v>15</v>
      </c>
      <c r="L2" s="7" t="s">
        <v>142</v>
      </c>
      <c r="M2" s="7" t="s">
        <v>143</v>
      </c>
    </row>
    <row r="3" spans="1:13" x14ac:dyDescent="0.25">
      <c r="A3">
        <v>1</v>
      </c>
      <c r="B3" t="s">
        <v>139</v>
      </c>
      <c r="C3" s="2" t="str">
        <f t="shared" ref="C3:C4" si="0">"增加"&amp;B3&amp;"{0}"</f>
        <v>增加移動速度增加{0}</v>
      </c>
      <c r="D3" s="2" t="s">
        <v>41</v>
      </c>
      <c r="E3" s="2">
        <v>6</v>
      </c>
      <c r="F3" s="2">
        <v>6</v>
      </c>
      <c r="H3" s="2">
        <v>100</v>
      </c>
      <c r="I3" s="2">
        <v>50</v>
      </c>
      <c r="J3">
        <v>50</v>
      </c>
      <c r="K3" s="2" t="s">
        <v>70</v>
      </c>
      <c r="L3">
        <f>E3+F3*(J3-1)</f>
        <v>300</v>
      </c>
      <c r="M3">
        <f>H3+(H3+I3*(J3-1))*J3/2</f>
        <v>63850</v>
      </c>
    </row>
    <row r="4" spans="1:13" x14ac:dyDescent="0.25">
      <c r="A4">
        <v>2</v>
      </c>
      <c r="B4" t="s">
        <v>140</v>
      </c>
      <c r="C4" s="2" t="str">
        <f t="shared" si="0"/>
        <v>增加加速上限{0}</v>
      </c>
      <c r="D4" s="2" t="s">
        <v>42</v>
      </c>
      <c r="E4" s="2">
        <v>10</v>
      </c>
      <c r="F4" s="2">
        <v>10</v>
      </c>
      <c r="H4" s="2">
        <v>100</v>
      </c>
      <c r="I4" s="2">
        <v>50</v>
      </c>
      <c r="J4">
        <v>50</v>
      </c>
      <c r="K4" s="2" t="s">
        <v>69</v>
      </c>
      <c r="L4">
        <f t="shared" ref="L4:L12" si="1">E4+F4*(J4-1)</f>
        <v>500</v>
      </c>
      <c r="M4">
        <f t="shared" ref="M4:M12" si="2">H4+(H4+I4*(J4-1))*J4/2</f>
        <v>63850</v>
      </c>
    </row>
    <row r="5" spans="1:13" x14ac:dyDescent="0.25">
      <c r="A5">
        <v>3</v>
      </c>
      <c r="B5" t="s">
        <v>138</v>
      </c>
      <c r="C5" s="2" t="s">
        <v>119</v>
      </c>
      <c r="D5" s="2" t="s">
        <v>118</v>
      </c>
      <c r="E5" s="2">
        <v>0.1</v>
      </c>
      <c r="F5" s="2">
        <v>0.1</v>
      </c>
      <c r="H5" s="2">
        <v>100</v>
      </c>
      <c r="I5" s="2">
        <v>50</v>
      </c>
      <c r="J5">
        <v>50</v>
      </c>
      <c r="K5" s="2" t="s">
        <v>71</v>
      </c>
      <c r="L5">
        <f t="shared" si="1"/>
        <v>5</v>
      </c>
      <c r="M5">
        <f t="shared" si="2"/>
        <v>63850</v>
      </c>
    </row>
    <row r="6" spans="1:13" x14ac:dyDescent="0.25">
      <c r="A6">
        <v>4</v>
      </c>
      <c r="B6" t="s">
        <v>10</v>
      </c>
      <c r="C6" s="2" t="s">
        <v>122</v>
      </c>
      <c r="D6" s="2" t="s">
        <v>77</v>
      </c>
      <c r="E6" s="2">
        <v>0.6</v>
      </c>
      <c r="F6" s="2">
        <v>0.6</v>
      </c>
      <c r="H6" s="2">
        <v>100</v>
      </c>
      <c r="I6" s="2">
        <v>50</v>
      </c>
      <c r="J6">
        <v>50</v>
      </c>
      <c r="K6" s="2" t="s">
        <v>72</v>
      </c>
      <c r="L6">
        <f t="shared" si="1"/>
        <v>30</v>
      </c>
      <c r="M6">
        <f t="shared" si="2"/>
        <v>63850</v>
      </c>
    </row>
    <row r="7" spans="1:13" x14ac:dyDescent="0.25">
      <c r="A7">
        <v>5</v>
      </c>
      <c r="B7" t="s">
        <v>82</v>
      </c>
      <c r="C7" s="2" t="s">
        <v>121</v>
      </c>
      <c r="D7" s="2" t="s">
        <v>120</v>
      </c>
      <c r="E7" s="2">
        <v>0.1</v>
      </c>
      <c r="F7" s="2">
        <v>0.1</v>
      </c>
      <c r="H7" s="2">
        <v>100</v>
      </c>
      <c r="I7" s="2">
        <v>50</v>
      </c>
      <c r="J7">
        <v>50</v>
      </c>
      <c r="K7" s="2" t="s">
        <v>85</v>
      </c>
      <c r="L7">
        <f t="shared" si="1"/>
        <v>5</v>
      </c>
      <c r="M7">
        <f t="shared" si="2"/>
        <v>63850</v>
      </c>
    </row>
    <row r="8" spans="1:13" x14ac:dyDescent="0.25">
      <c r="A8">
        <v>6</v>
      </c>
      <c r="B8" t="s">
        <v>136</v>
      </c>
      <c r="C8" s="2" t="s">
        <v>137</v>
      </c>
      <c r="D8" s="2" t="s">
        <v>78</v>
      </c>
      <c r="E8" s="2">
        <v>0.3</v>
      </c>
      <c r="F8" s="2">
        <v>0.3</v>
      </c>
      <c r="H8" s="2">
        <v>100</v>
      </c>
      <c r="I8" s="2">
        <v>50</v>
      </c>
      <c r="J8">
        <v>50</v>
      </c>
      <c r="K8" s="2" t="s">
        <v>84</v>
      </c>
      <c r="L8">
        <f t="shared" si="1"/>
        <v>15</v>
      </c>
      <c r="M8">
        <f t="shared" si="2"/>
        <v>63850</v>
      </c>
    </row>
    <row r="9" spans="1:13" x14ac:dyDescent="0.25">
      <c r="A9">
        <v>7</v>
      </c>
      <c r="B9" t="s">
        <v>135</v>
      </c>
      <c r="C9" s="2" t="s">
        <v>123</v>
      </c>
      <c r="D9" s="2" t="s">
        <v>43</v>
      </c>
      <c r="E9" s="2">
        <v>0.01</v>
      </c>
      <c r="F9" s="2">
        <v>0.01</v>
      </c>
      <c r="G9" s="2" t="b">
        <v>1</v>
      </c>
      <c r="H9" s="2">
        <v>150</v>
      </c>
      <c r="I9" s="2">
        <v>80</v>
      </c>
      <c r="J9" s="2">
        <v>30</v>
      </c>
      <c r="K9" s="2" t="s">
        <v>73</v>
      </c>
      <c r="L9">
        <f t="shared" si="1"/>
        <v>0.3</v>
      </c>
      <c r="M9">
        <f t="shared" si="2"/>
        <v>37200</v>
      </c>
    </row>
    <row r="10" spans="1:13" x14ac:dyDescent="0.25">
      <c r="A10">
        <v>8</v>
      </c>
      <c r="B10" t="s">
        <v>134</v>
      </c>
      <c r="C10" s="2" t="s">
        <v>146</v>
      </c>
      <c r="D10" s="2" t="s">
        <v>124</v>
      </c>
      <c r="E10" s="2">
        <v>1</v>
      </c>
      <c r="F10" s="2">
        <v>1</v>
      </c>
      <c r="H10" s="2">
        <v>100</v>
      </c>
      <c r="I10" s="2">
        <v>50</v>
      </c>
      <c r="J10" s="2">
        <v>50</v>
      </c>
      <c r="K10" s="2" t="s">
        <v>75</v>
      </c>
      <c r="L10">
        <f t="shared" si="1"/>
        <v>50</v>
      </c>
      <c r="M10">
        <f t="shared" si="2"/>
        <v>63850</v>
      </c>
    </row>
    <row r="11" spans="1:13" x14ac:dyDescent="0.25">
      <c r="A11">
        <v>9</v>
      </c>
      <c r="B11" t="s">
        <v>126</v>
      </c>
      <c r="C11" s="2" t="s">
        <v>141</v>
      </c>
      <c r="D11" s="2" t="s">
        <v>125</v>
      </c>
      <c r="E11" s="2">
        <v>1</v>
      </c>
      <c r="F11" s="2">
        <v>1</v>
      </c>
      <c r="H11" s="2">
        <v>200</v>
      </c>
      <c r="I11" s="2">
        <v>100</v>
      </c>
      <c r="J11" s="2">
        <v>30</v>
      </c>
      <c r="K11" s="2" t="s">
        <v>74</v>
      </c>
      <c r="L11">
        <f t="shared" si="1"/>
        <v>30</v>
      </c>
      <c r="M11">
        <f t="shared" si="2"/>
        <v>46700</v>
      </c>
    </row>
    <row r="12" spans="1:13" x14ac:dyDescent="0.25">
      <c r="A12">
        <v>10</v>
      </c>
      <c r="B12" t="s">
        <v>83</v>
      </c>
      <c r="C12" s="2" t="s">
        <v>127</v>
      </c>
      <c r="D12" s="2" t="s">
        <v>128</v>
      </c>
      <c r="E12" s="2">
        <v>0.01</v>
      </c>
      <c r="F12" s="2">
        <v>0.01</v>
      </c>
      <c r="G12" s="2" t="b">
        <v>1</v>
      </c>
      <c r="H12" s="2">
        <v>200</v>
      </c>
      <c r="I12" s="2">
        <v>100</v>
      </c>
      <c r="J12" s="2">
        <v>20</v>
      </c>
      <c r="K12" s="2" t="s">
        <v>76</v>
      </c>
      <c r="L12">
        <f t="shared" si="1"/>
        <v>0.2</v>
      </c>
      <c r="M12">
        <f t="shared" si="2"/>
        <v>21200</v>
      </c>
    </row>
    <row r="13" spans="1:13" s="5" customFormat="1" x14ac:dyDescent="0.25">
      <c r="B13" s="5" t="s">
        <v>48</v>
      </c>
      <c r="C13" s="6" t="str">
        <f t="shared" ref="C13:C18" si="3">"增加"&amp;B13&amp;"{0}"</f>
        <v>增加力量{0}</v>
      </c>
      <c r="D13" s="6" t="s">
        <v>63</v>
      </c>
      <c r="E13" s="6">
        <v>5</v>
      </c>
      <c r="F13" s="6">
        <v>5</v>
      </c>
      <c r="G13" s="6"/>
      <c r="H13" s="6">
        <v>50</v>
      </c>
      <c r="I13" s="6">
        <v>50</v>
      </c>
      <c r="K13" s="6" t="s">
        <v>56</v>
      </c>
    </row>
    <row r="14" spans="1:13" s="5" customFormat="1" x14ac:dyDescent="0.25">
      <c r="B14" s="5" t="s">
        <v>50</v>
      </c>
      <c r="C14" s="6" t="str">
        <f t="shared" si="3"/>
        <v>增加生命{0}</v>
      </c>
      <c r="D14" s="6" t="s">
        <v>64</v>
      </c>
      <c r="E14" s="6">
        <v>5</v>
      </c>
      <c r="F14" s="6">
        <v>5</v>
      </c>
      <c r="G14" s="6"/>
      <c r="H14" s="6">
        <v>50</v>
      </c>
      <c r="I14" s="6">
        <v>50</v>
      </c>
      <c r="K14" s="6" t="s">
        <v>57</v>
      </c>
    </row>
    <row r="15" spans="1:13" s="5" customFormat="1" x14ac:dyDescent="0.25">
      <c r="B15" s="5" t="s">
        <v>54</v>
      </c>
      <c r="C15" s="6" t="str">
        <f t="shared" si="3"/>
        <v>增加護盾{0}</v>
      </c>
      <c r="D15" s="6" t="s">
        <v>65</v>
      </c>
      <c r="E15" s="6">
        <v>5</v>
      </c>
      <c r="F15" s="6">
        <v>5</v>
      </c>
      <c r="G15" s="6"/>
      <c r="H15" s="6">
        <v>50</v>
      </c>
      <c r="I15" s="6">
        <v>50</v>
      </c>
      <c r="K15" s="6" t="s">
        <v>58</v>
      </c>
    </row>
    <row r="16" spans="1:13" s="5" customFormat="1" x14ac:dyDescent="0.25">
      <c r="B16" s="5" t="s">
        <v>52</v>
      </c>
      <c r="C16" s="6" t="str">
        <f t="shared" si="3"/>
        <v>增加護盾回復{0}</v>
      </c>
      <c r="D16" s="6" t="s">
        <v>66</v>
      </c>
      <c r="E16" s="6">
        <v>0.01</v>
      </c>
      <c r="F16" s="6">
        <v>0.01</v>
      </c>
      <c r="G16" s="6" t="b">
        <v>1</v>
      </c>
      <c r="H16" s="6">
        <v>50</v>
      </c>
      <c r="I16" s="6">
        <v>50</v>
      </c>
      <c r="K16" s="6" t="s">
        <v>59</v>
      </c>
    </row>
    <row r="17" spans="1:13" s="5" customFormat="1" x14ac:dyDescent="0.25">
      <c r="B17" s="5" t="s">
        <v>44</v>
      </c>
      <c r="C17" s="6" t="str">
        <f t="shared" si="3"/>
        <v>增加吸血{0}</v>
      </c>
      <c r="D17" s="6" t="s">
        <v>67</v>
      </c>
      <c r="E17" s="6">
        <v>0.01</v>
      </c>
      <c r="F17" s="6">
        <v>0.01</v>
      </c>
      <c r="G17" s="6" t="b">
        <v>1</v>
      </c>
      <c r="H17" s="6">
        <v>50</v>
      </c>
      <c r="I17" s="6">
        <v>50</v>
      </c>
      <c r="K17" s="6" t="s">
        <v>60</v>
      </c>
    </row>
    <row r="18" spans="1:13" s="5" customFormat="1" x14ac:dyDescent="0.25">
      <c r="B18" s="5" t="s">
        <v>46</v>
      </c>
      <c r="C18" s="6" t="str">
        <f t="shared" si="3"/>
        <v>增加藥水效果{0}</v>
      </c>
      <c r="D18" s="6" t="s">
        <v>68</v>
      </c>
      <c r="E18" s="6">
        <v>5</v>
      </c>
      <c r="F18" s="6">
        <v>5</v>
      </c>
      <c r="G18" s="6"/>
      <c r="H18" s="6">
        <v>50</v>
      </c>
      <c r="I18" s="6">
        <v>50</v>
      </c>
      <c r="K18" s="6" t="s">
        <v>61</v>
      </c>
    </row>
    <row r="19" spans="1:13" x14ac:dyDescent="0.25">
      <c r="A19" t="s">
        <v>4</v>
      </c>
      <c r="M19">
        <f>SUM(M3:M18)</f>
        <v>552050</v>
      </c>
    </row>
  </sheetData>
  <phoneticPr fontId="1" type="noConversion"/>
  <dataValidations count="1">
    <dataValidation type="list" allowBlank="1" showInputMessage="1" showErrorMessage="1" sqref="G28:G1048576 G3:G20">
      <formula1>"True,False"</formula1>
    </dataValidation>
  </dataValidations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Ref!$A$2:$A$17</xm:f>
          </x14:formula1>
          <xm:sqref>D3:D20 D28:D1048576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N58"/>
  <sheetViews>
    <sheetView tabSelected="1" zoomScale="85" zoomScaleNormal="85" workbookViewId="0">
      <selection activeCell="C11" sqref="C11"/>
    </sheetView>
  </sheetViews>
  <sheetFormatPr defaultRowHeight="16.5" x14ac:dyDescent="0.25"/>
  <cols>
    <col min="1" max="1" width="9" customWidth="1"/>
    <col min="2" max="2" width="17.625" customWidth="1"/>
    <col min="3" max="3" width="27.25" customWidth="1"/>
    <col min="4" max="4" width="13.25" customWidth="1"/>
    <col min="5" max="5" width="10.625" customWidth="1"/>
    <col min="6" max="6" width="12.75" customWidth="1"/>
    <col min="7" max="7" width="14.625" customWidth="1"/>
    <col min="8" max="8" width="9.375" customWidth="1"/>
    <col min="9" max="10" width="14" customWidth="1"/>
    <col min="11" max="11" width="14.125" customWidth="1"/>
    <col min="13" max="13" width="11.375" customWidth="1"/>
  </cols>
  <sheetData>
    <row r="1" spans="1:14" s="7" customFormat="1" x14ac:dyDescent="0.25">
      <c r="A1" s="7" t="s">
        <v>0</v>
      </c>
      <c r="B1" s="7" t="s">
        <v>8</v>
      </c>
      <c r="C1" s="8" t="s">
        <v>9</v>
      </c>
      <c r="D1" s="8" t="s">
        <v>103</v>
      </c>
      <c r="E1" s="8" t="s">
        <v>20</v>
      </c>
      <c r="F1" s="8" t="s">
        <v>21</v>
      </c>
      <c r="G1" s="8" t="s">
        <v>30</v>
      </c>
      <c r="H1" s="8" t="s">
        <v>113</v>
      </c>
      <c r="I1" s="8" t="s">
        <v>106</v>
      </c>
      <c r="J1" s="8" t="s">
        <v>117</v>
      </c>
      <c r="K1" s="8" t="s">
        <v>24</v>
      </c>
    </row>
    <row r="2" spans="1:14" s="7" customFormat="1" x14ac:dyDescent="0.25">
      <c r="A2" s="7" t="s">
        <v>1</v>
      </c>
      <c r="B2" s="7" t="s">
        <v>2</v>
      </c>
      <c r="C2" s="8" t="s">
        <v>3</v>
      </c>
      <c r="D2" s="8" t="s">
        <v>102</v>
      </c>
      <c r="E2" s="8" t="s">
        <v>22</v>
      </c>
      <c r="F2" s="8" t="s">
        <v>23</v>
      </c>
      <c r="G2" s="8" t="s">
        <v>29</v>
      </c>
      <c r="H2" s="8" t="s">
        <v>104</v>
      </c>
      <c r="I2" s="8" t="s">
        <v>105</v>
      </c>
      <c r="J2" s="8" t="s">
        <v>116</v>
      </c>
      <c r="K2" s="8" t="s">
        <v>15</v>
      </c>
      <c r="L2" s="7" t="s">
        <v>142</v>
      </c>
      <c r="M2" s="7" t="s">
        <v>145</v>
      </c>
      <c r="N2" s="7" t="s">
        <v>144</v>
      </c>
    </row>
    <row r="3" spans="1:14" x14ac:dyDescent="0.25">
      <c r="A3">
        <v>1</v>
      </c>
      <c r="B3" s="4" t="s">
        <v>107</v>
      </c>
      <c r="C3" s="2" t="s">
        <v>110</v>
      </c>
      <c r="D3" t="s">
        <v>95</v>
      </c>
      <c r="E3">
        <v>0.1</v>
      </c>
      <c r="F3">
        <v>0.1</v>
      </c>
      <c r="G3" t="b">
        <v>1</v>
      </c>
      <c r="H3">
        <v>10</v>
      </c>
      <c r="I3">
        <v>5</v>
      </c>
      <c r="J3">
        <v>5</v>
      </c>
      <c r="K3" t="s">
        <v>129</v>
      </c>
      <c r="L3">
        <f>E3+F3*(J3-1)</f>
        <v>0.5</v>
      </c>
      <c r="M3">
        <f>(H3+(H3+I3*(J3-1)))*J3/2</f>
        <v>100</v>
      </c>
      <c r="N3">
        <f>M3/10</f>
        <v>10</v>
      </c>
    </row>
    <row r="4" spans="1:14" x14ac:dyDescent="0.25">
      <c r="A4">
        <v>2</v>
      </c>
      <c r="B4" t="s">
        <v>115</v>
      </c>
      <c r="C4" s="2" t="s">
        <v>109</v>
      </c>
      <c r="D4" t="s">
        <v>130</v>
      </c>
      <c r="E4">
        <v>0.4</v>
      </c>
      <c r="F4">
        <v>0.4</v>
      </c>
      <c r="H4">
        <v>10</v>
      </c>
      <c r="I4">
        <v>5</v>
      </c>
      <c r="J4">
        <v>5</v>
      </c>
      <c r="K4" t="s">
        <v>93</v>
      </c>
      <c r="L4">
        <f t="shared" ref="L4:L7" si="0">E4+F4*(J4-1)</f>
        <v>2</v>
      </c>
      <c r="M4">
        <f t="shared" ref="M4:M7" si="1">(H4+(H4+I4*(J4-1)))*J4/2</f>
        <v>100</v>
      </c>
      <c r="N4">
        <f t="shared" ref="N4:N7" si="2">M4/10</f>
        <v>10</v>
      </c>
    </row>
    <row r="5" spans="1:14" x14ac:dyDescent="0.25">
      <c r="A5">
        <v>3</v>
      </c>
      <c r="B5" s="4" t="s">
        <v>237</v>
      </c>
      <c r="C5" t="s">
        <v>114</v>
      </c>
      <c r="D5" t="s">
        <v>131</v>
      </c>
      <c r="E5">
        <v>0.03</v>
      </c>
      <c r="F5">
        <v>0.03</v>
      </c>
      <c r="G5" t="b">
        <v>1</v>
      </c>
      <c r="H5">
        <v>10</v>
      </c>
      <c r="I5">
        <v>5</v>
      </c>
      <c r="J5">
        <v>5</v>
      </c>
      <c r="K5" t="s">
        <v>96</v>
      </c>
      <c r="L5">
        <f t="shared" si="0"/>
        <v>0.15</v>
      </c>
      <c r="M5">
        <f t="shared" si="1"/>
        <v>100</v>
      </c>
      <c r="N5">
        <f t="shared" si="2"/>
        <v>10</v>
      </c>
    </row>
    <row r="6" spans="1:14" x14ac:dyDescent="0.25">
      <c r="A6">
        <v>4</v>
      </c>
      <c r="B6" s="4" t="s">
        <v>111</v>
      </c>
      <c r="C6" t="s">
        <v>194</v>
      </c>
      <c r="D6" t="s">
        <v>132</v>
      </c>
      <c r="E6">
        <v>0.25</v>
      </c>
      <c r="F6">
        <v>0.1</v>
      </c>
      <c r="G6" t="b">
        <v>1</v>
      </c>
      <c r="H6">
        <v>15</v>
      </c>
      <c r="I6">
        <v>7</v>
      </c>
      <c r="J6">
        <v>5</v>
      </c>
      <c r="K6" t="s">
        <v>98</v>
      </c>
      <c r="L6">
        <f t="shared" si="0"/>
        <v>0.65</v>
      </c>
      <c r="M6">
        <f t="shared" si="1"/>
        <v>145</v>
      </c>
      <c r="N6">
        <f t="shared" si="2"/>
        <v>14.5</v>
      </c>
    </row>
    <row r="7" spans="1:14" x14ac:dyDescent="0.25">
      <c r="A7">
        <v>5</v>
      </c>
      <c r="B7" s="4" t="s">
        <v>112</v>
      </c>
      <c r="C7" s="4" t="s">
        <v>108</v>
      </c>
      <c r="D7" t="s">
        <v>133</v>
      </c>
      <c r="E7">
        <v>4</v>
      </c>
      <c r="F7">
        <v>2</v>
      </c>
      <c r="H7">
        <v>15</v>
      </c>
      <c r="I7">
        <v>7</v>
      </c>
      <c r="J7">
        <v>5</v>
      </c>
      <c r="K7" t="s">
        <v>100</v>
      </c>
      <c r="L7">
        <f t="shared" si="0"/>
        <v>12</v>
      </c>
      <c r="M7">
        <f t="shared" si="1"/>
        <v>145</v>
      </c>
      <c r="N7">
        <f t="shared" si="2"/>
        <v>14.5</v>
      </c>
    </row>
    <row r="8" spans="1:14" x14ac:dyDescent="0.25">
      <c r="A8" t="s">
        <v>4</v>
      </c>
      <c r="M8">
        <f>SUM(M3:M7)</f>
        <v>590</v>
      </c>
      <c r="N8">
        <f>SUM(N3:N7)</f>
        <v>59</v>
      </c>
    </row>
    <row r="9" spans="1:14" x14ac:dyDescent="0.25">
      <c r="B9" s="9"/>
    </row>
    <row r="10" spans="1:14" x14ac:dyDescent="0.25">
      <c r="B10" s="4" t="s">
        <v>154</v>
      </c>
      <c r="C10" s="4" t="s">
        <v>147</v>
      </c>
    </row>
    <row r="11" spans="1:14" x14ac:dyDescent="0.25">
      <c r="B11" t="s">
        <v>153</v>
      </c>
      <c r="C11" s="4" t="s">
        <v>148</v>
      </c>
    </row>
    <row r="12" spans="1:14" x14ac:dyDescent="0.25">
      <c r="B12" t="s">
        <v>152</v>
      </c>
      <c r="C12" s="4" t="s">
        <v>149</v>
      </c>
    </row>
    <row r="13" spans="1:14" x14ac:dyDescent="0.25">
      <c r="B13" t="s">
        <v>151</v>
      </c>
      <c r="C13" s="4" t="s">
        <v>150</v>
      </c>
    </row>
    <row r="14" spans="1:14" x14ac:dyDescent="0.25">
      <c r="B14" t="s">
        <v>156</v>
      </c>
      <c r="C14" s="4" t="s">
        <v>157</v>
      </c>
    </row>
    <row r="15" spans="1:14" x14ac:dyDescent="0.25">
      <c r="B15" t="s">
        <v>158</v>
      </c>
      <c r="C15" s="4" t="s">
        <v>163</v>
      </c>
    </row>
    <row r="16" spans="1:14" x14ac:dyDescent="0.25">
      <c r="B16" t="s">
        <v>160</v>
      </c>
      <c r="C16" s="4" t="s">
        <v>162</v>
      </c>
    </row>
    <row r="17" spans="2:3" x14ac:dyDescent="0.25">
      <c r="B17" t="s">
        <v>159</v>
      </c>
      <c r="C17" s="4" t="s">
        <v>161</v>
      </c>
    </row>
    <row r="18" spans="2:3" x14ac:dyDescent="0.25">
      <c r="B18" t="s">
        <v>164</v>
      </c>
      <c r="C18" t="s">
        <v>207</v>
      </c>
    </row>
    <row r="19" spans="2:3" x14ac:dyDescent="0.25">
      <c r="B19" t="s">
        <v>165</v>
      </c>
      <c r="C19" s="4" t="s">
        <v>166</v>
      </c>
    </row>
    <row r="20" spans="2:3" x14ac:dyDescent="0.25">
      <c r="B20" t="s">
        <v>167</v>
      </c>
      <c r="C20" s="4" t="s">
        <v>168</v>
      </c>
    </row>
    <row r="21" spans="2:3" x14ac:dyDescent="0.25">
      <c r="B21" t="s">
        <v>170</v>
      </c>
      <c r="C21" s="4" t="s">
        <v>171</v>
      </c>
    </row>
    <row r="22" spans="2:3" x14ac:dyDescent="0.25">
      <c r="B22" t="s">
        <v>172</v>
      </c>
      <c r="C22" s="4" t="s">
        <v>175</v>
      </c>
    </row>
    <row r="23" spans="2:3" x14ac:dyDescent="0.25">
      <c r="B23" t="s">
        <v>173</v>
      </c>
      <c r="C23" s="4" t="s">
        <v>174</v>
      </c>
    </row>
    <row r="24" spans="2:3" x14ac:dyDescent="0.25">
      <c r="B24" t="s">
        <v>176</v>
      </c>
      <c r="C24" s="4" t="s">
        <v>177</v>
      </c>
    </row>
    <row r="25" spans="2:3" x14ac:dyDescent="0.25">
      <c r="B25" t="s">
        <v>184</v>
      </c>
      <c r="C25" s="4" t="s">
        <v>185</v>
      </c>
    </row>
    <row r="26" spans="2:3" x14ac:dyDescent="0.25">
      <c r="B26" t="s">
        <v>186</v>
      </c>
      <c r="C26" s="4" t="s">
        <v>187</v>
      </c>
    </row>
    <row r="27" spans="2:3" x14ac:dyDescent="0.25">
      <c r="B27" t="s">
        <v>188</v>
      </c>
      <c r="C27" s="4" t="s">
        <v>189</v>
      </c>
    </row>
    <row r="28" spans="2:3" x14ac:dyDescent="0.25">
      <c r="B28" t="s">
        <v>190</v>
      </c>
      <c r="C28" s="4" t="s">
        <v>191</v>
      </c>
    </row>
    <row r="29" spans="2:3" x14ac:dyDescent="0.25">
      <c r="B29" t="s">
        <v>192</v>
      </c>
      <c r="C29" t="s">
        <v>195</v>
      </c>
    </row>
    <row r="30" spans="2:3" x14ac:dyDescent="0.25">
      <c r="B30" t="s">
        <v>193</v>
      </c>
      <c r="C30" t="s">
        <v>196</v>
      </c>
    </row>
    <row r="31" spans="2:3" x14ac:dyDescent="0.25">
      <c r="B31" t="s">
        <v>198</v>
      </c>
      <c r="C31" t="s">
        <v>197</v>
      </c>
    </row>
    <row r="32" spans="2:3" x14ac:dyDescent="0.25">
      <c r="B32" t="s">
        <v>203</v>
      </c>
      <c r="C32" s="4" t="s">
        <v>204</v>
      </c>
    </row>
    <row r="33" spans="2:3" x14ac:dyDescent="0.25">
      <c r="B33" t="s">
        <v>169</v>
      </c>
      <c r="C33" t="s">
        <v>206</v>
      </c>
    </row>
    <row r="34" spans="2:3" x14ac:dyDescent="0.25">
      <c r="B34" t="s">
        <v>202</v>
      </c>
      <c r="C34" t="s">
        <v>205</v>
      </c>
    </row>
    <row r="35" spans="2:3" x14ac:dyDescent="0.25">
      <c r="B35" t="s">
        <v>201</v>
      </c>
      <c r="C35" t="s">
        <v>210</v>
      </c>
    </row>
    <row r="36" spans="2:3" x14ac:dyDescent="0.25">
      <c r="B36" t="s">
        <v>211</v>
      </c>
      <c r="C36" t="s">
        <v>212</v>
      </c>
    </row>
    <row r="37" spans="2:3" x14ac:dyDescent="0.25">
      <c r="B37" t="s">
        <v>213</v>
      </c>
      <c r="C37" t="s">
        <v>214</v>
      </c>
    </row>
    <row r="38" spans="2:3" x14ac:dyDescent="0.25">
      <c r="B38" t="s">
        <v>223</v>
      </c>
      <c r="C38" t="s">
        <v>224</v>
      </c>
    </row>
    <row r="39" spans="2:3" x14ac:dyDescent="0.25">
      <c r="B39" t="s">
        <v>225</v>
      </c>
      <c r="C39" t="s">
        <v>226</v>
      </c>
    </row>
    <row r="40" spans="2:3" x14ac:dyDescent="0.25">
      <c r="B40" t="s">
        <v>229</v>
      </c>
      <c r="C40" t="s">
        <v>230</v>
      </c>
    </row>
    <row r="41" spans="2:3" x14ac:dyDescent="0.25">
      <c r="B41" t="s">
        <v>231</v>
      </c>
      <c r="C41" t="s">
        <v>232</v>
      </c>
    </row>
    <row r="42" spans="2:3" x14ac:dyDescent="0.25">
      <c r="B42" t="s">
        <v>228</v>
      </c>
      <c r="C42" t="s">
        <v>227</v>
      </c>
    </row>
    <row r="47" spans="2:3" x14ac:dyDescent="0.25">
      <c r="B47" t="s">
        <v>200</v>
      </c>
      <c r="C47" t="s">
        <v>199</v>
      </c>
    </row>
    <row r="48" spans="2:3" x14ac:dyDescent="0.25">
      <c r="B48" t="s">
        <v>178</v>
      </c>
      <c r="C48" t="s">
        <v>179</v>
      </c>
    </row>
    <row r="49" spans="2:3" x14ac:dyDescent="0.25">
      <c r="B49" t="s">
        <v>180</v>
      </c>
      <c r="C49" s="4" t="s">
        <v>181</v>
      </c>
    </row>
    <row r="50" spans="2:3" x14ac:dyDescent="0.25">
      <c r="B50" t="s">
        <v>183</v>
      </c>
      <c r="C50" t="s">
        <v>182</v>
      </c>
    </row>
    <row r="51" spans="2:3" x14ac:dyDescent="0.25">
      <c r="B51" t="s">
        <v>209</v>
      </c>
      <c r="C51" t="s">
        <v>208</v>
      </c>
    </row>
    <row r="52" spans="2:3" x14ac:dyDescent="0.25">
      <c r="B52" t="s">
        <v>215</v>
      </c>
      <c r="C52" t="s">
        <v>218</v>
      </c>
    </row>
    <row r="53" spans="2:3" x14ac:dyDescent="0.25">
      <c r="B53" t="s">
        <v>216</v>
      </c>
      <c r="C53" t="s">
        <v>219</v>
      </c>
    </row>
    <row r="54" spans="2:3" x14ac:dyDescent="0.25">
      <c r="B54" t="s">
        <v>217</v>
      </c>
      <c r="C54" t="s">
        <v>220</v>
      </c>
    </row>
    <row r="55" spans="2:3" x14ac:dyDescent="0.25">
      <c r="B55" t="s">
        <v>221</v>
      </c>
      <c r="C55" t="s">
        <v>222</v>
      </c>
    </row>
    <row r="56" spans="2:3" x14ac:dyDescent="0.25">
      <c r="B56" t="s">
        <v>233</v>
      </c>
      <c r="C56" t="s">
        <v>234</v>
      </c>
    </row>
    <row r="57" spans="2:3" x14ac:dyDescent="0.25">
      <c r="B57" t="s">
        <v>155</v>
      </c>
      <c r="C57" s="4" t="s">
        <v>235</v>
      </c>
    </row>
    <row r="58" spans="2:3" x14ac:dyDescent="0.25">
      <c r="B58" t="s">
        <v>236</v>
      </c>
      <c r="C58" t="s">
        <v>238</v>
      </c>
    </row>
  </sheetData>
  <phoneticPr fontId="1" type="noConversion"/>
  <dataValidations count="1">
    <dataValidation type="list" allowBlank="1" showInputMessage="1" showErrorMessage="1" sqref="G1:G1048576">
      <formula1>"True,False"</formula1>
    </dataValidation>
  </dataValidations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Ref!$C$2:$C$6</xm:f>
          </x14:formula1>
          <xm:sqref>D40:D1048576 D1:D32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D17"/>
  <sheetViews>
    <sheetView workbookViewId="0">
      <selection activeCell="D6" sqref="D2:D6"/>
    </sheetView>
  </sheetViews>
  <sheetFormatPr defaultRowHeight="16.5" x14ac:dyDescent="0.25"/>
  <cols>
    <col min="1" max="1" width="15.75" style="2" customWidth="1"/>
    <col min="2" max="2" width="16.75" style="2" customWidth="1"/>
    <col min="3" max="3" width="11.375" customWidth="1"/>
    <col min="4" max="4" width="12.25" customWidth="1"/>
  </cols>
  <sheetData>
    <row r="1" spans="1:4" s="1" customFormat="1" x14ac:dyDescent="0.25">
      <c r="A1" s="3" t="s">
        <v>19</v>
      </c>
      <c r="B1" s="3" t="s">
        <v>17</v>
      </c>
      <c r="C1" s="1" t="s">
        <v>86</v>
      </c>
      <c r="D1" s="1" t="s">
        <v>87</v>
      </c>
    </row>
    <row r="2" spans="1:4" x14ac:dyDescent="0.25">
      <c r="A2" s="2" t="s">
        <v>62</v>
      </c>
      <c r="B2" s="2" t="s">
        <v>49</v>
      </c>
      <c r="C2" t="s">
        <v>95</v>
      </c>
      <c r="D2" s="4" t="s">
        <v>92</v>
      </c>
    </row>
    <row r="3" spans="1:4" x14ac:dyDescent="0.25">
      <c r="A3" s="2" t="s">
        <v>57</v>
      </c>
      <c r="B3" s="2" t="s">
        <v>51</v>
      </c>
      <c r="C3" t="s">
        <v>94</v>
      </c>
      <c r="D3" s="4" t="s">
        <v>88</v>
      </c>
    </row>
    <row r="4" spans="1:4" x14ac:dyDescent="0.25">
      <c r="A4" s="2" t="s">
        <v>58</v>
      </c>
      <c r="B4" s="2" t="s">
        <v>55</v>
      </c>
      <c r="C4" t="s">
        <v>97</v>
      </c>
      <c r="D4" s="4" t="s">
        <v>89</v>
      </c>
    </row>
    <row r="5" spans="1:4" x14ac:dyDescent="0.25">
      <c r="A5" s="2" t="s">
        <v>59</v>
      </c>
      <c r="B5" s="2" t="s">
        <v>53</v>
      </c>
      <c r="C5" t="s">
        <v>99</v>
      </c>
      <c r="D5" s="4" t="s">
        <v>90</v>
      </c>
    </row>
    <row r="6" spans="1:4" x14ac:dyDescent="0.25">
      <c r="A6" s="2" t="s">
        <v>11</v>
      </c>
      <c r="B6" s="2" t="s">
        <v>31</v>
      </c>
      <c r="C6" t="s">
        <v>101</v>
      </c>
      <c r="D6" s="4" t="s">
        <v>91</v>
      </c>
    </row>
    <row r="7" spans="1:4" x14ac:dyDescent="0.25">
      <c r="A7" s="2" t="s">
        <v>38</v>
      </c>
      <c r="B7" s="2" t="s">
        <v>35</v>
      </c>
    </row>
    <row r="8" spans="1:4" x14ac:dyDescent="0.25">
      <c r="A8" s="2" t="s">
        <v>39</v>
      </c>
      <c r="B8" s="2" t="s">
        <v>36</v>
      </c>
    </row>
    <row r="9" spans="1:4" x14ac:dyDescent="0.25">
      <c r="A9" s="2" t="s">
        <v>12</v>
      </c>
      <c r="B9" s="2" t="s">
        <v>32</v>
      </c>
    </row>
    <row r="10" spans="1:4" x14ac:dyDescent="0.25">
      <c r="A10" s="2" t="s">
        <v>80</v>
      </c>
      <c r="B10" s="2" t="s">
        <v>81</v>
      </c>
    </row>
    <row r="11" spans="1:4" x14ac:dyDescent="0.25">
      <c r="A11" s="2" t="s">
        <v>79</v>
      </c>
      <c r="B11" s="2" t="s">
        <v>5</v>
      </c>
    </row>
    <row r="12" spans="1:4" x14ac:dyDescent="0.25">
      <c r="A12" s="2" t="s">
        <v>13</v>
      </c>
      <c r="B12" s="2" t="s">
        <v>6</v>
      </c>
    </row>
    <row r="13" spans="1:4" x14ac:dyDescent="0.25">
      <c r="A13" s="2" t="s">
        <v>14</v>
      </c>
      <c r="B13" s="2" t="s">
        <v>33</v>
      </c>
    </row>
    <row r="14" spans="1:4" x14ac:dyDescent="0.25">
      <c r="A14" s="2" t="s">
        <v>40</v>
      </c>
      <c r="B14" s="2" t="s">
        <v>7</v>
      </c>
    </row>
    <row r="15" spans="1:4" x14ac:dyDescent="0.25">
      <c r="A15" s="2" t="s">
        <v>60</v>
      </c>
      <c r="B15" s="2" t="s">
        <v>45</v>
      </c>
    </row>
    <row r="16" spans="1:4" x14ac:dyDescent="0.25">
      <c r="A16" s="2" t="s">
        <v>61</v>
      </c>
      <c r="B16" s="2" t="s">
        <v>47</v>
      </c>
    </row>
    <row r="17" spans="1:2" x14ac:dyDescent="0.25">
      <c r="A17" s="2" t="s">
        <v>37</v>
      </c>
      <c r="B17" s="2" t="s">
        <v>34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已命名的範圍</vt:lpstr>
      </vt:variant>
      <vt:variant>
        <vt:i4>2</vt:i4>
      </vt:variant>
    </vt:vector>
  </HeadingPairs>
  <TitlesOfParts>
    <vt:vector size="5" baseType="lpstr">
      <vt:lpstr>Strengthen</vt:lpstr>
      <vt:lpstr>Enchant</vt:lpstr>
      <vt:lpstr>Ref</vt:lpstr>
      <vt:lpstr>TargetType</vt:lpstr>
      <vt:lpstr>TriggerType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Scozirge</dc:creator>
  <cp:lastModifiedBy>scozirge</cp:lastModifiedBy>
  <dcterms:created xsi:type="dcterms:W3CDTF">2006-09-16T00:00:00Z</dcterms:created>
  <dcterms:modified xsi:type="dcterms:W3CDTF">2018-11-17T11:03:01Z</dcterms:modified>
</cp:coreProperties>
</file>