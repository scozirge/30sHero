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455" windowWidth="14805" windowHeight="6660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Q3" i="6" l="1"/>
  <c r="M4" i="6" l="1"/>
  <c r="N4" i="6"/>
  <c r="O4" i="6" s="1"/>
  <c r="M5" i="6"/>
  <c r="N5" i="6"/>
  <c r="O5" i="6" s="1"/>
  <c r="M6" i="6"/>
  <c r="N6" i="6"/>
  <c r="O6" i="6"/>
  <c r="M7" i="6"/>
  <c r="N7" i="6"/>
  <c r="O7" i="6"/>
  <c r="M8" i="6"/>
  <c r="N8" i="6"/>
  <c r="O8" i="6" s="1"/>
  <c r="M9" i="6"/>
  <c r="N9" i="6"/>
  <c r="O9" i="6" s="1"/>
  <c r="M10" i="6"/>
  <c r="N10" i="6"/>
  <c r="O10" i="6" s="1"/>
  <c r="M11" i="6"/>
  <c r="N11" i="6"/>
  <c r="O11" i="6" s="1"/>
  <c r="M12" i="6"/>
  <c r="N12" i="6"/>
  <c r="O12" i="6" s="1"/>
  <c r="M13" i="6"/>
  <c r="N13" i="6"/>
  <c r="O13" i="6" s="1"/>
  <c r="M14" i="6"/>
  <c r="N14" i="6"/>
  <c r="O14" i="6"/>
  <c r="M15" i="6"/>
  <c r="N15" i="6"/>
  <c r="O15" i="6" s="1"/>
  <c r="M16" i="6"/>
  <c r="N16" i="6"/>
  <c r="O16" i="6" s="1"/>
  <c r="M17" i="6"/>
  <c r="N17" i="6"/>
  <c r="O17" i="6" s="1"/>
  <c r="M18" i="6"/>
  <c r="N18" i="6"/>
  <c r="O18" i="6"/>
  <c r="M19" i="6"/>
  <c r="N19" i="6"/>
  <c r="O19" i="6" s="1"/>
  <c r="M20" i="6"/>
  <c r="N20" i="6"/>
  <c r="O20" i="6" s="1"/>
  <c r="M21" i="6"/>
  <c r="N21" i="6"/>
  <c r="O21" i="6" s="1"/>
  <c r="M22" i="6"/>
  <c r="N22" i="6"/>
  <c r="O22" i="6"/>
  <c r="M23" i="6"/>
  <c r="N23" i="6"/>
  <c r="O23" i="6" s="1"/>
  <c r="M24" i="6"/>
  <c r="N24" i="6"/>
  <c r="O24" i="6" s="1"/>
  <c r="M25" i="6"/>
  <c r="N25" i="6"/>
  <c r="O25" i="6" s="1"/>
  <c r="M26" i="6"/>
  <c r="N26" i="6"/>
  <c r="O26" i="6"/>
  <c r="M27" i="6"/>
  <c r="N27" i="6"/>
  <c r="O27" i="6" s="1"/>
  <c r="M28" i="6"/>
  <c r="N28" i="6"/>
  <c r="O28" i="6" s="1"/>
  <c r="M29" i="6"/>
  <c r="N29" i="6"/>
  <c r="O29" i="6" s="1"/>
  <c r="M30" i="6"/>
  <c r="N30" i="6"/>
  <c r="O30" i="6"/>
  <c r="M31" i="6"/>
  <c r="N31" i="6"/>
  <c r="O31" i="6"/>
  <c r="M32" i="6"/>
  <c r="N32" i="6"/>
  <c r="O32" i="6" s="1"/>
  <c r="M33" i="6"/>
  <c r="N33" i="6"/>
  <c r="O33" i="6" s="1"/>
  <c r="M34" i="6"/>
  <c r="N34" i="6"/>
  <c r="O34" i="6"/>
  <c r="M35" i="6"/>
  <c r="N35" i="6"/>
  <c r="O35" i="6" s="1"/>
  <c r="M36" i="6"/>
  <c r="N36" i="6"/>
  <c r="O36" i="6" s="1"/>
  <c r="M37" i="6"/>
  <c r="N37" i="6"/>
  <c r="O37" i="6" s="1"/>
  <c r="M38" i="6"/>
  <c r="N38" i="6"/>
  <c r="O38" i="6"/>
  <c r="M39" i="6"/>
  <c r="N39" i="6"/>
  <c r="O39" i="6" s="1"/>
  <c r="M40" i="6"/>
  <c r="N40" i="6"/>
  <c r="O40" i="6" s="1"/>
  <c r="M41" i="6"/>
  <c r="N41" i="6"/>
  <c r="O41" i="6" s="1"/>
  <c r="M42" i="6"/>
  <c r="N42" i="6"/>
  <c r="O42" i="6" s="1"/>
  <c r="M43" i="6"/>
  <c r="N43" i="6"/>
  <c r="O43" i="6" s="1"/>
  <c r="M44" i="6"/>
  <c r="N44" i="6"/>
  <c r="O44" i="6" s="1"/>
  <c r="M45" i="6"/>
  <c r="N45" i="6"/>
  <c r="O45" i="6" s="1"/>
  <c r="M46" i="6"/>
  <c r="N46" i="6"/>
  <c r="O46" i="6"/>
  <c r="M47" i="6"/>
  <c r="N47" i="6"/>
  <c r="O47" i="6"/>
  <c r="M48" i="6"/>
  <c r="N48" i="6"/>
  <c r="O48" i="6" s="1"/>
  <c r="M49" i="6"/>
  <c r="N49" i="6"/>
  <c r="O49" i="6" s="1"/>
  <c r="M50" i="6"/>
  <c r="N50" i="6"/>
  <c r="O50" i="6" s="1"/>
  <c r="M51" i="6"/>
  <c r="N51" i="6"/>
  <c r="O51" i="6"/>
  <c r="M52" i="6"/>
  <c r="N52" i="6"/>
  <c r="O52" i="6" s="1"/>
  <c r="M53" i="6"/>
  <c r="N53" i="6"/>
  <c r="O53" i="6" s="1"/>
  <c r="M54" i="6"/>
  <c r="N54" i="6"/>
  <c r="O54" i="6"/>
  <c r="M55" i="6"/>
  <c r="N55" i="6"/>
  <c r="O55" i="6" s="1"/>
  <c r="M56" i="6"/>
  <c r="N56" i="6"/>
  <c r="O56" i="6" s="1"/>
  <c r="M57" i="6"/>
  <c r="N57" i="6"/>
  <c r="O57" i="6" s="1"/>
  <c r="M58" i="6"/>
  <c r="N58" i="6"/>
  <c r="O58" i="6"/>
  <c r="M59" i="6"/>
  <c r="N59" i="6"/>
  <c r="O59" i="6" s="1"/>
  <c r="M60" i="6"/>
  <c r="N60" i="6"/>
  <c r="O60" i="6" s="1"/>
  <c r="M61" i="6"/>
  <c r="N61" i="6"/>
  <c r="O61" i="6" s="1"/>
  <c r="M62" i="6"/>
  <c r="N62" i="6"/>
  <c r="O62" i="6" s="1"/>
  <c r="M63" i="6"/>
  <c r="N63" i="6"/>
  <c r="O63" i="6" s="1"/>
  <c r="M64" i="6"/>
  <c r="N64" i="6"/>
  <c r="O64" i="6" s="1"/>
  <c r="M65" i="6"/>
  <c r="N65" i="6"/>
  <c r="O65" i="6" s="1"/>
  <c r="M66" i="6"/>
  <c r="N66" i="6"/>
  <c r="O66" i="6" s="1"/>
  <c r="M67" i="6"/>
  <c r="N67" i="6"/>
  <c r="O67" i="6" s="1"/>
  <c r="M68" i="6"/>
  <c r="N68" i="6"/>
  <c r="O68" i="6" s="1"/>
  <c r="M69" i="6"/>
  <c r="N69" i="6"/>
  <c r="O69" i="6" s="1"/>
  <c r="M70" i="6"/>
  <c r="N70" i="6"/>
  <c r="O70" i="6"/>
  <c r="M71" i="6"/>
  <c r="N71" i="6"/>
  <c r="O71" i="6" s="1"/>
  <c r="M72" i="6"/>
  <c r="N72" i="6"/>
  <c r="O72" i="6" s="1"/>
  <c r="M76" i="6" l="1"/>
  <c r="N76" i="6"/>
  <c r="O76" i="6" s="1"/>
  <c r="M74" i="6" l="1"/>
  <c r="N74" i="6"/>
  <c r="O74" i="6" s="1"/>
  <c r="M75" i="6"/>
  <c r="N75" i="6"/>
  <c r="O75" i="6" s="1"/>
  <c r="M4" i="1" l="1"/>
  <c r="M5" i="1"/>
  <c r="M6" i="1"/>
  <c r="M7" i="1"/>
  <c r="M8" i="1"/>
  <c r="M9" i="1"/>
  <c r="M10" i="1"/>
  <c r="M11" i="1"/>
  <c r="M12" i="1"/>
  <c r="M3" i="1"/>
  <c r="N3" i="6"/>
  <c r="N73" i="6" s="1"/>
  <c r="O73" i="6" l="1"/>
  <c r="O3" i="6"/>
  <c r="M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<sst xmlns="http://schemas.openxmlformats.org/spreadsheetml/2006/main" count="682" uniqueCount="540">
  <si>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</si>
  <si>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</si>
  <si>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</si>
  <si>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</si>
  <si>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</si>
  <si>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</si>
  <si>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</si>
  <si>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</si>
  <si>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</si>
  <si>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</si>
  <si>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</si>
  <si>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</si>
  <si>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</si>
  <si>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</si>
  <si>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</si>
  <si>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</si>
  <si>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</si>
  <si>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</si>
  <si>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</si>
  <si>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</si>
  <si>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</si>
  <si>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</si>
  <si>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</si>
  <si>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</si>
  <si>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</si>
  <si>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</si>
  <si>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</si>
  <si>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</si>
  <si>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</si>
  <si>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</si>
  <si>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</si>
  <si>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</si>
  <si>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</si>
  <si>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</si>
  <si>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</si>
  <si>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</si>
  <si>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</si>
  <si>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</si>
  <si>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</si>
  <si>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</si>
  <si>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</si>
  <si>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</si>
  <si>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</si>
  <si>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</si>
  <si>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</si>
  <si>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</si>
  <si>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</si>
  <si>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</si>
  <si>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</si>
  <si>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</si>
  <si>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</si>
  <si>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</si>
  <si>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</si>
  <si>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</si>
  <si>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</si>
  <si>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</si>
  <si>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</si>
  <si>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</si>
  <si>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</si>
  <si>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</si>
  <si>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</si>
  <si>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</si>
  <si>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</si>
  <si>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</si>
  <si>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</si>
  <si>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</si>
  <si>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</si>
  <si>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</si>
  <si>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</si>
  <si>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</si>
  <si>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</si>
  <si>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</si>
  <si>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</si>
  <si>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</si>
  <si>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</si>
  <si>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</si>
  <si>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</si>
  <si>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</si>
  <si>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</si>
  <si>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</si>
  <si>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</si>
  <si>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</si>
  <si>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</si>
  <si>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</si>
  <si>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</si>
  <si>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</si>
  <si>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</si>
  <si>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</si>
  <si>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</si>
  <si>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</si>
  <si>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</si>
  <si>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</si>
  <si>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</si>
  <si>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</si>
  <si>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</si>
  <si>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</si>
  <si>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</si>
  <si>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</si>
  <si>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</si>
  <si>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</si>
  <si>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</si>
  <si>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</si>
  <si>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</si>
  <si>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</si>
  <si>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</si>
  <si>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</si>
  <si>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</si>
  <si>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</si>
  <si>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</si>
  <si>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</si>
  <si>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</si>
  <si>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</si>
  <si>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</si>
  <si>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</si>
  <si>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</si>
  <si>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</si>
  <si>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</si>
  <si>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</si>
  <si>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</si>
  <si>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</si>
  <si>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</si>
  <si>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</si>
  <si>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</si>
  <si>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</si>
  <si>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</si>
  <si>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</si>
  <si>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</si>
  <si>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</si>
  <si>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</si>
  <si>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</si>
  <si>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</si>
  <si>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</si>
  <si>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</si>
  <si>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</si>
  <si>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</si>
  <si>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</si>
  <si>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</si>
  <si>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</si>
  <si>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</si>
  <si>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</si>
  <si>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</si>
  <si>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</si>
  <si>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</si>
  <si>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</si>
  <si>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</si>
  <si>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</si>
  <si>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</si>
  <si>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</si>
  <si>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</si>
  <si>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</si>
  <si>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</si>
  <si>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</si>
  <si>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</si>
  <si>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</si>
  <si>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</si>
  <si>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</si>
  <si>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</si>
  <si>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</si>
  <si>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</si>
  <si>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</si>
  <si>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</si>
  <si>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</si>
  <si>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</si>
  <si>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</si>
  <si>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</si>
  <si>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</si>
  <si>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</si>
  <si>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</si>
  <si>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</si>
  <si>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</si>
  <si>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</si>
  <si>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</si>
  <si>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</si>
  <si>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</si>
  <si>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</si>
  <si>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</si>
  <si>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</si>
  <si>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</si>
  <si>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</si>
  <si>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</si>
  <si>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</si>
  <si>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</si>
  <si>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</si>
  <si>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</si>
  <si>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</si>
  <si>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</si>
  <si>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</si>
  <si>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</si>
  <si>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</si>
  <si>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</si>
  <si>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</si>
  <si>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</si>
  <si>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</si>
  <si>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</si>
  <si>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</si>
  <si>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</si>
  <si>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</si>
  <si>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</si>
  <si>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</si>
  <si>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</si>
  <si>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</si>
  <si>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</si>
  <si>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</si>
  <si>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</si>
  <si>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</si>
  <si>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</si>
  <si>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</si>
  <si>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</si>
  <si>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</si>
  <si>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</si>
  <si>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</si>
  <si>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</si>
  <si>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</si>
  <si>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</si>
  <si>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</si>
  <si>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</si>
  <si>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</si>
  <si>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</si>
  <si>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</si>
  <si>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</si>
  <si>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</si>
  <si>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</si>
  <si>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</si>
  <si>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</si>
  <si>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</si>
  <si>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</si>
  <si>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</si>
  <si>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</si>
  <si>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</si>
  <si>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</si>
  <si>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</si>
  <si>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</si>
  <si>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</si>
  <si>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</si>
  <si>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</si>
  <si>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</si>
  <si>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</si>
  <si>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</si>
  <si>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</si>
  <si>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</si>
  <si>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</si>
  <si>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</si>
  <si>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</si>
  <si>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</si>
  <si>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</si>
  <si>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</si>
  <si>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</si>
  <si>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</si>
  <si>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</si>
  <si>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</si>
  <si>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</si>
  <si>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</si>
  <si>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</si>
  <si>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</si>
  <si>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</si>
  <si>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</si>
  <si>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</si>
  <si>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</si>
  <si>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</si>
  <si>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</si>
  <si>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</si>
  <si>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</si>
  <si>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</si>
  <si>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</si>
  <si>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</si>
  <si>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</si>
  <si>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</si>
  <si>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</si>
  <si>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</si>
  <si>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</si>
  <si>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</si>
  <si>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</si>
  <si>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</si>
  <si>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</si>
  <si>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</si>
  <si>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</si>
  <si>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</si>
  <si>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</si>
  <si>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</si>
  <si>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</si>
  <si>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</si>
  <si>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</si>
  <si>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</si>
  <si>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</si>
  <si>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</si>
  <si>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</si>
  <si>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</si>
  <si>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</si>
  <si>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</si>
  <si>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</si>
  <si>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</si>
  <si>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</si>
  <si>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</si>
  <si>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</si>
  <si>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</si>
  <si>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</si>
  <si>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</si>
  <si>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</si>
  <si>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</si>
  <si>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</si>
  <si>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</si>
  <si>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</si>
  <si>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</si>
  <si>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</si>
  <si>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</si>
  <si>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</si>
  <si>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</si>
  <si>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</si>
  <si>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</si>
  <si>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</si>
  <si>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</si>
  <si>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</si>
  <si>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</si>
  <si>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</si>
  <si>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</si>
  <si>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</si>
  <si>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</si>
  <si>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</si>
  <si>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</si>
  <si>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</si>
  <si>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</si>
  <si>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</si>
  <si>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</si>
  <si>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</si>
  <si>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</si>
  <si>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</si>
  <si>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</si>
  <si>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</si>
  <si>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</si>
  <si>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</si>
  <si>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</si>
  <si>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</si>
  <si>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</si>
  <si>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</si>
  <si>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</si>
  <si>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</si>
  <si>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</si>
  <si>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</si>
  <si>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</si>
  <si>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</si>
  <si>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</si>
  <si>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</si>
  <si>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</si>
  <si>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</si>
  <si>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</si>
  <si>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</si>
  <si>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</si>
  <si>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</si>
  <si>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</si>
  <si>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</si>
  <si>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</si>
  <si>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</si>
  <si>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</si>
  <si>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</si>
  <si>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</si>
  <si>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</si>
  <si>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</si>
  <si>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</si>
  <si>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</si>
  <si>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</si>
  <si>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</si>
  <si>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</si>
  <si>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</si>
  <si>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</si>
  <si>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</si>
  <si>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</si>
  <si>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</si>
  <si>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</si>
  <si>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</si>
  <si>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</si>
  <si>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</si>
  <si>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</si>
  <si>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</si>
  <si>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</si>
  <si>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</si>
  <si>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</si>
  <si>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</si>
  <si>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</si>
  <si>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</si>
  <si>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</si>
  <si>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</si>
  <si>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</si>
  <si>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</si>
  <si>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</si>
  <si>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</si>
  <si>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</si>
  <si>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</si>
  <si>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</si>
  <si>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</si>
  <si>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</si>
  <si>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</si>
  <si>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</si>
  <si>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</si>
  <si>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</si>
  <si>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</si>
  <si>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</si>
  <si>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</si>
  <si>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</si>
  <si>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</si>
  <si>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</si>
  <si>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</si>
  <si>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</si>
  <si>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</si>
  <si>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</si>
  <si>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</si>
  <si>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</si>
  <si>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</si>
  <si>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</si>
  <si>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</si>
  <si>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</si>
  <si>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</si>
  <si>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</si>
  <si>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</si>
  <si>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</si>
  <si>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</si>
  <si>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</si>
  <si>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</si>
  <si>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</si>
  <si>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</si>
  <si>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</si>
  <si>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</si>
  <si>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</si>
  <si>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</si>
  <si>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</si>
  <si>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</si>
  <si>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</si>
  <si>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</si>
  <si>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</si>
  <si>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</si>
  <si>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</si>
  <si>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</si>
  <si>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</si>
  <si>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</si>
  <si>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</si>
  <si>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</si>
  <si>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</si>
  <si>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</si>
  <si>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</si>
  <si>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</si>
  <si>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</si>
  <si>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</si>
  <si>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</si>
  <si>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</si>
  <si>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</si>
  <si>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</si>
  <si>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</si>
  <si>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</si>
  <si>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</si>
  <si>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</si>
  <si>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</si>
  <si>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</si>
  <si>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</si>
  <si>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</si>
  <si>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</si>
  <si>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</si>
  <si>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</si>
  <si>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</si>
  <si>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</si>
  <si>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</si>
  <si>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</si>
  <si>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</si>
  <si>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</si>
  <si>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</si>
  <si>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</si>
  <si>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</si>
  <si>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</si>
  <si>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</si>
  <si>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</si>
  <si>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</si>
  <si>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</si>
  <si>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</si>
  <si>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</si>
  <si>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</si>
  <si>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</si>
  <si>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</si>
  <si>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</si>
  <si>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</si>
  <si>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</si>
  <si>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</si>
  <si>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</si>
  <si>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</si>
  <si>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</si>
  <si>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</si>
  <si>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</si>
  <si>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</si>
  <si>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</si>
  <si>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</si>
  <si>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DashImpact</t>
    <phoneticPr fontId="1" type="noConversion"/>
  </si>
  <si>
    <t>Overload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</si>
  <si>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</si>
  <si>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</si>
  <si>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</si>
  <si>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</si>
  <si>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</si>
  <si>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</si>
  <si>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</si>
  <si>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</si>
  <si>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</si>
  <si>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</si>
  <si>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FireArmor</t>
    <phoneticPr fontId="1" type="noConversion"/>
  </si>
  <si>
    <t>FrozenArmor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</si>
  <si>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</si>
  <si>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</si>
  <si>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</si>
  <si>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</si>
  <si>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</si>
  <si>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</si>
  <si>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</si>
  <si>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</si>
  <si>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</si>
  <si>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</si>
  <si>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</si>
  <si>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</si>
  <si>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</si>
  <si>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</si>
  <si>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</si>
  <si>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</si>
  <si>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</si>
  <si>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</si>
  <si>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</si>
  <si>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</si>
  <si>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</si>
  <si>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</si>
  <si>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</si>
  <si>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</si>
  <si>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</si>
  <si>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</si>
  <si>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</si>
  <si>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</si>
  <si>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</si>
  <si>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</si>
  <si>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</si>
  <si>
    <t>Bat</t>
    <phoneticPr fontId="1" type="noConversion"/>
  </si>
  <si>
    <t>FrozenBall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</si>
  <si>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</si>
  <si>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</si>
  <si>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</si>
  <si>
    <t>Carnivorous</t>
    <phoneticPr fontId="1" type="noConversion"/>
  </si>
  <si>
    <t>無護盾時，連續{0}秒內受到2次攻擊後咆嘯震退周圍敵人並造成50%刀子傷害</t>
    <phoneticPr fontId="1" type="noConversion"/>
  </si>
  <si>
    <t>Fury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</si>
</sst>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M19" sqref="M19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123</v>
      </c>
      <c r="M2" s="7" t="s">
        <v>124</v>
      </c>
    </row>
    <row r="3" spans="1:13" x14ac:dyDescent="0.25">
      <c r="A3">
        <v>1</v>
      </c>
      <c r="B3" t="s">
        <v>120</v>
      </c>
      <c r="C3" s="2" t="str">
        <f t="shared" ref="C3:C4" si="0">"增加"&amp;B3&amp;"{0}"</f>
        <v>增加移動速度增加{0}</v>
      </c>
      <c r="D3" s="2" t="s">
        <v>41</v>
      </c>
      <c r="E3" s="2">
        <v>10</v>
      </c>
      <c r="F3" s="2">
        <v>10</v>
      </c>
      <c r="H3" s="2">
        <v>100</v>
      </c>
      <c r="I3" s="2">
        <v>50</v>
      </c>
      <c r="J3">
        <v>20</v>
      </c>
      <c r="K3" s="2" t="s">
        <v>69</v>
      </c>
      <c r="L3">
        <f>E3+F3*(J3-1)</f>
        <v>200</v>
      </c>
      <c r="M3">
        <f>H3+(H3+I3*(J3-1))*J3/2</f>
        <v>10600</v>
      </c>
    </row>
    <row r="4" spans="1:13" x14ac:dyDescent="0.25">
      <c r="A4">
        <v>2</v>
      </c>
      <c r="B4" t="s">
        <v>121</v>
      </c>
      <c r="C4" s="2" t="str">
        <f t="shared" si="0"/>
        <v>增加加速上限{0}</v>
      </c>
      <c r="D4" s="2" t="s">
        <v>42</v>
      </c>
      <c r="E4" s="2">
        <v>20</v>
      </c>
      <c r="F4" s="2">
        <v>20</v>
      </c>
      <c r="H4" s="2">
        <v>100</v>
      </c>
      <c r="I4" s="2">
        <v>50</v>
      </c>
      <c r="J4">
        <v>20</v>
      </c>
      <c r="K4" s="2" t="s">
        <v>68</v>
      </c>
      <c r="L4">
        <f t="shared" ref="L4:L12" si="1">E4+F4*(J4-1)</f>
        <v>400</v>
      </c>
      <c r="M4">
        <f t="shared" ref="M4:M12" si="2">H4+(H4+I4*(J4-1))*J4/2</f>
        <v>10600</v>
      </c>
    </row>
    <row r="5" spans="1:13" x14ac:dyDescent="0.25">
      <c r="A5">
        <v>3</v>
      </c>
      <c r="B5" t="s">
        <v>119</v>
      </c>
      <c r="C5" s="2" t="s">
        <v>105</v>
      </c>
      <c r="D5" s="2" t="s">
        <v>104</v>
      </c>
      <c r="E5" s="2">
        <v>0.2</v>
      </c>
      <c r="F5" s="2">
        <v>0.2</v>
      </c>
      <c r="H5" s="2">
        <v>100</v>
      </c>
      <c r="I5" s="2">
        <v>50</v>
      </c>
      <c r="J5">
        <v>20</v>
      </c>
      <c r="K5" s="2" t="s">
        <v>70</v>
      </c>
      <c r="L5">
        <f t="shared" si="1"/>
        <v>4</v>
      </c>
      <c r="M5">
        <f t="shared" si="2"/>
        <v>10600</v>
      </c>
    </row>
    <row r="6" spans="1:13" x14ac:dyDescent="0.25">
      <c r="A6">
        <v>4</v>
      </c>
      <c r="B6" t="s">
        <v>10</v>
      </c>
      <c r="C6" s="2" t="s">
        <v>108</v>
      </c>
      <c r="D6" s="2" t="s">
        <v>76</v>
      </c>
      <c r="E6" s="2">
        <v>1</v>
      </c>
      <c r="F6" s="2">
        <v>1</v>
      </c>
      <c r="H6" s="2">
        <v>100</v>
      </c>
      <c r="I6" s="2">
        <v>50</v>
      </c>
      <c r="J6">
        <v>20</v>
      </c>
      <c r="K6" s="2" t="s">
        <v>71</v>
      </c>
      <c r="L6">
        <f t="shared" si="1"/>
        <v>20</v>
      </c>
      <c r="M6">
        <f t="shared" si="2"/>
        <v>10600</v>
      </c>
    </row>
    <row r="7" spans="1:13" x14ac:dyDescent="0.25">
      <c r="A7">
        <v>5</v>
      </c>
      <c r="B7" t="s">
        <v>81</v>
      </c>
      <c r="C7" s="2" t="s">
        <v>107</v>
      </c>
      <c r="D7" s="2" t="s">
        <v>106</v>
      </c>
      <c r="E7" s="2">
        <v>0.5</v>
      </c>
      <c r="F7" s="2">
        <v>0.25</v>
      </c>
      <c r="H7" s="2">
        <v>100</v>
      </c>
      <c r="I7" s="2">
        <v>50</v>
      </c>
      <c r="J7">
        <v>20</v>
      </c>
      <c r="K7" s="2" t="s">
        <v>84</v>
      </c>
      <c r="L7">
        <f t="shared" si="1"/>
        <v>5.25</v>
      </c>
      <c r="M7">
        <f t="shared" si="2"/>
        <v>10600</v>
      </c>
    </row>
    <row r="8" spans="1:13" x14ac:dyDescent="0.25">
      <c r="A8">
        <v>6</v>
      </c>
      <c r="B8" t="s">
        <v>117</v>
      </c>
      <c r="C8" s="2" t="s">
        <v>118</v>
      </c>
      <c r="D8" s="2" t="s">
        <v>77</v>
      </c>
      <c r="E8" s="2">
        <v>0.5</v>
      </c>
      <c r="F8" s="2">
        <v>0.5</v>
      </c>
      <c r="H8" s="2">
        <v>100</v>
      </c>
      <c r="I8" s="2">
        <v>50</v>
      </c>
      <c r="J8">
        <v>20</v>
      </c>
      <c r="K8" s="2" t="s">
        <v>83</v>
      </c>
      <c r="L8">
        <f t="shared" si="1"/>
        <v>10</v>
      </c>
      <c r="M8">
        <f t="shared" si="2"/>
        <v>10600</v>
      </c>
    </row>
    <row r="9" spans="1:13" x14ac:dyDescent="0.25">
      <c r="A9">
        <v>7</v>
      </c>
      <c r="B9" t="s">
        <v>116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200</v>
      </c>
      <c r="I9" s="2">
        <v>100</v>
      </c>
      <c r="J9" s="2">
        <v>20</v>
      </c>
      <c r="K9" s="2" t="s">
        <v>72</v>
      </c>
      <c r="L9">
        <f t="shared" si="1"/>
        <v>0.2</v>
      </c>
      <c r="M9">
        <f t="shared" si="2"/>
        <v>21200</v>
      </c>
    </row>
    <row r="10" spans="1:13" x14ac:dyDescent="0.25">
      <c r="A10">
        <v>8</v>
      </c>
      <c r="B10" t="s">
        <v>115</v>
      </c>
      <c r="C10" s="2" t="s">
        <v>127</v>
      </c>
      <c r="D10" s="2" t="s">
        <v>110</v>
      </c>
      <c r="E10" s="2">
        <v>2</v>
      </c>
      <c r="F10" s="2">
        <v>2</v>
      </c>
      <c r="H10" s="2">
        <v>200</v>
      </c>
      <c r="I10" s="2">
        <v>100</v>
      </c>
      <c r="J10" s="2">
        <v>20</v>
      </c>
      <c r="K10" s="2" t="s">
        <v>74</v>
      </c>
      <c r="L10">
        <f t="shared" si="1"/>
        <v>40</v>
      </c>
      <c r="M10">
        <f t="shared" si="2"/>
        <v>21200</v>
      </c>
    </row>
    <row r="11" spans="1:13" x14ac:dyDescent="0.25">
      <c r="A11">
        <v>9</v>
      </c>
      <c r="B11" t="s">
        <v>112</v>
      </c>
      <c r="C11" s="2" t="s">
        <v>122</v>
      </c>
      <c r="D11" s="2" t="s">
        <v>111</v>
      </c>
      <c r="E11" s="2">
        <v>2</v>
      </c>
      <c r="F11" s="2">
        <v>2</v>
      </c>
      <c r="H11" s="2">
        <v>100</v>
      </c>
      <c r="I11" s="2">
        <v>50</v>
      </c>
      <c r="J11" s="2">
        <v>20</v>
      </c>
      <c r="K11" s="2" t="s">
        <v>73</v>
      </c>
      <c r="L11">
        <f t="shared" si="1"/>
        <v>40</v>
      </c>
      <c r="M11">
        <f t="shared" si="2"/>
        <v>10600</v>
      </c>
    </row>
    <row r="12" spans="1:13" x14ac:dyDescent="0.25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100</v>
      </c>
      <c r="I12" s="2">
        <v>50</v>
      </c>
      <c r="J12" s="2">
        <v>20</v>
      </c>
      <c r="K12" s="2" t="s">
        <v>75</v>
      </c>
      <c r="L12">
        <f t="shared" si="1"/>
        <v>0.2</v>
      </c>
      <c r="M12">
        <f t="shared" si="2"/>
        <v>10600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127200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Q77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10" sqref="C10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2" max="12" width="10.75" customWidth="1"/>
    <col min="14" max="14" width="11.375" customWidth="1"/>
  </cols>
  <sheetData>
    <row r="1" spans="1:17" s="7" customFormat="1" x14ac:dyDescent="0.25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9" t="s">
        <v>99</v>
      </c>
      <c r="I1" s="8" t="s">
        <v>95</v>
      </c>
      <c r="J1" s="8" t="s">
        <v>103</v>
      </c>
      <c r="K1" s="8" t="s">
        <v>24</v>
      </c>
      <c r="L1" s="7" t="s">
        <v>520</v>
      </c>
    </row>
    <row r="2" spans="1:17" s="7" customFormat="1" x14ac:dyDescent="0.25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9" t="s">
        <v>93</v>
      </c>
      <c r="I2" s="8" t="s">
        <v>94</v>
      </c>
      <c r="J2" s="8" t="s">
        <v>102</v>
      </c>
      <c r="K2" s="8" t="s">
        <v>15</v>
      </c>
      <c r="L2" s="7" t="s">
        <v>519</v>
      </c>
      <c r="M2" s="7" t="s">
        <v>123</v>
      </c>
      <c r="N2" s="7" t="s">
        <v>126</v>
      </c>
      <c r="O2" s="7" t="s">
        <v>125</v>
      </c>
    </row>
    <row r="3" spans="1:17" x14ac:dyDescent="0.25">
      <c r="A3">
        <v>1</v>
      </c>
      <c r="B3" s="10" t="s">
        <v>299</v>
      </c>
      <c r="C3" s="2" t="s">
        <v>98</v>
      </c>
      <c r="D3" t="s">
        <v>454</v>
      </c>
      <c r="E3">
        <v>0.1</v>
      </c>
      <c r="G3" t="b">
        <v>1</v>
      </c>
      <c r="L3" s="12" t="s">
        <v>523</v>
      </c>
      <c r="M3">
        <f>E3+F3*(J3-1)</f>
        <v>0.1</v>
      </c>
      <c r="N3">
        <f>(H3+(H3+I3*(J3-1)))*J3/2</f>
        <v>0</v>
      </c>
      <c r="O3">
        <f>N3/10</f>
        <v>0</v>
      </c>
      <c r="Q3" t="str">
        <f>"Enchant="&amp;COUNTIF(L:L,"Enchant")</f>
        <v>Enchant=30</v>
      </c>
    </row>
    <row r="4" spans="1:17" x14ac:dyDescent="0.25">
      <c r="A4">
        <v>2</v>
      </c>
      <c r="B4" s="10" t="s">
        <v>152</v>
      </c>
      <c r="C4" s="4" t="s">
        <v>96</v>
      </c>
      <c r="D4" t="s">
        <v>460</v>
      </c>
      <c r="E4">
        <v>3</v>
      </c>
      <c r="F4">
        <v>3</v>
      </c>
      <c r="I4">
        <v>5</v>
      </c>
      <c r="J4">
        <v>3</v>
      </c>
      <c r="K4" t="s">
        <v>365</v>
      </c>
      <c r="L4" s="12" t="s">
        <v>527</v>
      </c>
      <c r="M4">
        <f t="shared" ref="M4:M67" si="0">E4+F4*(J4-1)</f>
        <v>9</v>
      </c>
      <c r="N4">
        <f t="shared" ref="N4:N67" si="1">(H4+(H4+I4*(J4-1)))*J4/2</f>
        <v>15</v>
      </c>
      <c r="O4">
        <f t="shared" ref="O4:O67" si="2">N4/10</f>
        <v>1.5</v>
      </c>
    </row>
    <row r="5" spans="1:17" x14ac:dyDescent="0.25">
      <c r="A5">
        <v>3</v>
      </c>
      <c r="B5" s="11" t="s">
        <v>136</v>
      </c>
      <c r="C5" t="s">
        <v>128</v>
      </c>
      <c r="D5" t="s">
        <v>301</v>
      </c>
      <c r="E5">
        <v>0.15</v>
      </c>
      <c r="G5" t="b">
        <v>1</v>
      </c>
      <c r="L5" s="12" t="s">
        <v>523</v>
      </c>
      <c r="M5">
        <f t="shared" si="0"/>
        <v>0.15</v>
      </c>
      <c r="N5">
        <f t="shared" si="1"/>
        <v>0</v>
      </c>
      <c r="O5">
        <f t="shared" si="2"/>
        <v>0</v>
      </c>
    </row>
    <row r="6" spans="1:17" x14ac:dyDescent="0.25">
      <c r="A6">
        <v>4</v>
      </c>
      <c r="B6" s="11" t="s">
        <v>137</v>
      </c>
      <c r="C6" t="s">
        <v>129</v>
      </c>
      <c r="D6" t="s">
        <v>317</v>
      </c>
      <c r="E6">
        <v>0.15</v>
      </c>
      <c r="G6" t="b">
        <v>1</v>
      </c>
      <c r="L6" s="12" t="s">
        <v>523</v>
      </c>
      <c r="M6">
        <f t="shared" si="0"/>
        <v>0.15</v>
      </c>
      <c r="N6">
        <f t="shared" si="1"/>
        <v>0</v>
      </c>
      <c r="O6">
        <f t="shared" si="2"/>
        <v>0</v>
      </c>
    </row>
    <row r="7" spans="1:17" x14ac:dyDescent="0.25">
      <c r="A7">
        <v>5</v>
      </c>
      <c r="B7" s="11" t="s">
        <v>138</v>
      </c>
      <c r="C7" t="s">
        <v>130</v>
      </c>
      <c r="D7" t="s">
        <v>302</v>
      </c>
      <c r="E7">
        <v>0.15</v>
      </c>
      <c r="G7" t="b">
        <v>1</v>
      </c>
      <c r="L7" s="12" t="s">
        <v>523</v>
      </c>
      <c r="M7">
        <f t="shared" si="0"/>
        <v>0.15</v>
      </c>
      <c r="N7">
        <f t="shared" si="1"/>
        <v>0</v>
      </c>
      <c r="O7">
        <f t="shared" si="2"/>
        <v>0</v>
      </c>
    </row>
    <row r="8" spans="1:17" x14ac:dyDescent="0.25">
      <c r="A8">
        <v>6</v>
      </c>
      <c r="B8" s="11" t="s">
        <v>133</v>
      </c>
      <c r="C8" t="s">
        <v>194</v>
      </c>
      <c r="D8" t="s">
        <v>318</v>
      </c>
      <c r="E8">
        <v>0.1</v>
      </c>
      <c r="G8" t="b">
        <v>1</v>
      </c>
      <c r="L8" s="12" t="s">
        <v>523</v>
      </c>
      <c r="M8">
        <f t="shared" si="0"/>
        <v>0.1</v>
      </c>
      <c r="N8">
        <f t="shared" si="1"/>
        <v>0</v>
      </c>
      <c r="O8">
        <f t="shared" si="2"/>
        <v>0</v>
      </c>
    </row>
    <row r="9" spans="1:17" x14ac:dyDescent="0.25">
      <c r="A9">
        <v>7</v>
      </c>
      <c r="B9" s="11" t="s">
        <v>139</v>
      </c>
      <c r="C9" t="s">
        <v>319</v>
      </c>
      <c r="D9" t="s">
        <v>458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366</v>
      </c>
      <c r="L9" s="12" t="s">
        <v>527</v>
      </c>
      <c r="M9">
        <f t="shared" si="0"/>
        <v>0.2</v>
      </c>
      <c r="N9">
        <f t="shared" si="1"/>
        <v>15</v>
      </c>
      <c r="O9">
        <f t="shared" si="2"/>
        <v>1.5</v>
      </c>
    </row>
    <row r="10" spans="1:17" x14ac:dyDescent="0.25">
      <c r="A10">
        <v>8</v>
      </c>
      <c r="B10" s="11" t="s">
        <v>461</v>
      </c>
      <c r="C10" t="s">
        <v>463</v>
      </c>
      <c r="D10" t="s">
        <v>459</v>
      </c>
      <c r="E10">
        <v>0.05</v>
      </c>
      <c r="G10" t="b">
        <v>1</v>
      </c>
      <c r="L10" s="12" t="s">
        <v>523</v>
      </c>
      <c r="M10">
        <f t="shared" si="0"/>
        <v>0.05</v>
      </c>
      <c r="N10">
        <f t="shared" si="1"/>
        <v>0</v>
      </c>
      <c r="O10">
        <f t="shared" si="2"/>
        <v>0</v>
      </c>
    </row>
    <row r="11" spans="1:17" x14ac:dyDescent="0.25">
      <c r="A11">
        <v>9</v>
      </c>
      <c r="B11" s="11" t="s">
        <v>198</v>
      </c>
      <c r="C11" t="s">
        <v>303</v>
      </c>
      <c r="D11" t="s">
        <v>537</v>
      </c>
      <c r="E11">
        <v>0.01</v>
      </c>
      <c r="G11" t="b">
        <v>1</v>
      </c>
      <c r="L11" s="12" t="s">
        <v>523</v>
      </c>
      <c r="M11">
        <f t="shared" si="0"/>
        <v>0.01</v>
      </c>
      <c r="N11">
        <f t="shared" si="1"/>
        <v>0</v>
      </c>
      <c r="O11">
        <f t="shared" si="2"/>
        <v>0</v>
      </c>
    </row>
    <row r="12" spans="1:17" x14ac:dyDescent="0.25">
      <c r="A12">
        <v>10</v>
      </c>
      <c r="B12" s="11" t="s">
        <v>479</v>
      </c>
      <c r="C12" t="s">
        <v>478</v>
      </c>
      <c r="D12" t="s">
        <v>477</v>
      </c>
      <c r="E12">
        <v>0.4</v>
      </c>
      <c r="F12">
        <v>0.3</v>
      </c>
      <c r="G12" t="b">
        <v>1</v>
      </c>
      <c r="I12">
        <v>5</v>
      </c>
      <c r="J12">
        <v>3</v>
      </c>
      <c r="K12" t="s">
        <v>367</v>
      </c>
      <c r="L12" s="12" t="s">
        <v>527</v>
      </c>
      <c r="M12">
        <f t="shared" si="0"/>
        <v>1</v>
      </c>
      <c r="N12">
        <f t="shared" si="1"/>
        <v>15</v>
      </c>
      <c r="O12">
        <f t="shared" si="2"/>
        <v>1.5</v>
      </c>
    </row>
    <row r="13" spans="1:17" x14ac:dyDescent="0.25">
      <c r="A13">
        <v>11</v>
      </c>
      <c r="B13" s="11" t="s">
        <v>480</v>
      </c>
      <c r="C13" t="s">
        <v>464</v>
      </c>
      <c r="D13" t="s">
        <v>476</v>
      </c>
      <c r="E13">
        <v>0.4</v>
      </c>
      <c r="F13">
        <v>0.3</v>
      </c>
      <c r="G13" t="b">
        <v>1</v>
      </c>
      <c r="I13">
        <v>5</v>
      </c>
      <c r="J13">
        <v>3</v>
      </c>
      <c r="K13" t="s">
        <v>368</v>
      </c>
      <c r="L13" s="12" t="s">
        <v>527</v>
      </c>
      <c r="M13">
        <f t="shared" si="0"/>
        <v>1</v>
      </c>
      <c r="N13">
        <f t="shared" si="1"/>
        <v>15</v>
      </c>
      <c r="O13">
        <f t="shared" si="2"/>
        <v>1.5</v>
      </c>
    </row>
    <row r="14" spans="1:17" x14ac:dyDescent="0.25">
      <c r="A14">
        <v>12</v>
      </c>
      <c r="B14" s="11" t="s">
        <v>481</v>
      </c>
      <c r="C14" t="s">
        <v>465</v>
      </c>
      <c r="D14" t="s">
        <v>475</v>
      </c>
      <c r="E14">
        <v>0.4</v>
      </c>
      <c r="F14">
        <v>0.3</v>
      </c>
      <c r="G14" t="b">
        <v>1</v>
      </c>
      <c r="I14">
        <v>5</v>
      </c>
      <c r="J14">
        <v>3</v>
      </c>
      <c r="K14" t="s">
        <v>369</v>
      </c>
      <c r="L14" s="12" t="s">
        <v>527</v>
      </c>
      <c r="M14">
        <f t="shared" si="0"/>
        <v>1</v>
      </c>
      <c r="N14">
        <f t="shared" si="1"/>
        <v>15</v>
      </c>
      <c r="O14">
        <f t="shared" si="2"/>
        <v>1.5</v>
      </c>
    </row>
    <row r="15" spans="1:17" x14ac:dyDescent="0.25">
      <c r="A15">
        <v>13</v>
      </c>
      <c r="B15" s="11" t="s">
        <v>482</v>
      </c>
      <c r="C15" t="s">
        <v>304</v>
      </c>
      <c r="D15" t="s">
        <v>237</v>
      </c>
      <c r="E15">
        <v>0.5</v>
      </c>
      <c r="G15" t="b">
        <v>1</v>
      </c>
      <c r="L15" s="12" t="s">
        <v>523</v>
      </c>
      <c r="M15">
        <f t="shared" si="0"/>
        <v>0.5</v>
      </c>
      <c r="N15">
        <f t="shared" si="1"/>
        <v>0</v>
      </c>
      <c r="O15">
        <f t="shared" si="2"/>
        <v>0</v>
      </c>
    </row>
    <row r="16" spans="1:17" x14ac:dyDescent="0.25">
      <c r="A16">
        <v>14</v>
      </c>
      <c r="B16" s="11" t="s">
        <v>483</v>
      </c>
      <c r="C16" t="s">
        <v>305</v>
      </c>
      <c r="D16" t="s">
        <v>238</v>
      </c>
      <c r="E16">
        <v>0.2</v>
      </c>
      <c r="G16" t="b">
        <v>1</v>
      </c>
      <c r="L16" s="12" t="s">
        <v>525</v>
      </c>
      <c r="M16">
        <f t="shared" si="0"/>
        <v>0.2</v>
      </c>
      <c r="N16">
        <f t="shared" si="1"/>
        <v>0</v>
      </c>
      <c r="O16">
        <f t="shared" si="2"/>
        <v>0</v>
      </c>
    </row>
    <row r="17" spans="1:15" x14ac:dyDescent="0.25">
      <c r="A17">
        <v>15</v>
      </c>
      <c r="B17" s="11" t="s">
        <v>484</v>
      </c>
      <c r="C17" t="s">
        <v>455</v>
      </c>
      <c r="D17" t="s">
        <v>343</v>
      </c>
      <c r="E17">
        <v>0.1</v>
      </c>
      <c r="F17">
        <v>0.1</v>
      </c>
      <c r="G17" t="b">
        <v>1</v>
      </c>
      <c r="I17">
        <v>5</v>
      </c>
      <c r="J17">
        <v>3</v>
      </c>
      <c r="K17" t="s">
        <v>370</v>
      </c>
      <c r="L17" s="12" t="s">
        <v>527</v>
      </c>
      <c r="M17">
        <f t="shared" si="0"/>
        <v>0.30000000000000004</v>
      </c>
      <c r="N17">
        <f t="shared" si="1"/>
        <v>15</v>
      </c>
      <c r="O17">
        <f t="shared" si="2"/>
        <v>1.5</v>
      </c>
    </row>
    <row r="18" spans="1:15" x14ac:dyDescent="0.25">
      <c r="A18">
        <v>16</v>
      </c>
      <c r="B18" s="11" t="s">
        <v>485</v>
      </c>
      <c r="C18" t="s">
        <v>363</v>
      </c>
      <c r="D18" t="s">
        <v>360</v>
      </c>
      <c r="E18">
        <v>0.4</v>
      </c>
      <c r="F18">
        <v>0.3</v>
      </c>
      <c r="G18" t="b">
        <v>1</v>
      </c>
      <c r="I18">
        <v>5</v>
      </c>
      <c r="J18">
        <v>3</v>
      </c>
      <c r="K18" t="s">
        <v>371</v>
      </c>
      <c r="L18" s="12" t="s">
        <v>527</v>
      </c>
      <c r="M18">
        <f t="shared" si="0"/>
        <v>1</v>
      </c>
      <c r="N18">
        <f t="shared" si="1"/>
        <v>15</v>
      </c>
      <c r="O18">
        <f t="shared" si="2"/>
        <v>1.5</v>
      </c>
    </row>
    <row r="19" spans="1:15" x14ac:dyDescent="0.25">
      <c r="A19">
        <v>17</v>
      </c>
      <c r="B19" s="11" t="s">
        <v>151</v>
      </c>
      <c r="C19" t="s">
        <v>306</v>
      </c>
      <c r="D19" t="s">
        <v>344</v>
      </c>
      <c r="E19">
        <v>0.3</v>
      </c>
      <c r="G19" t="b">
        <v>1</v>
      </c>
      <c r="L19" s="12" t="s">
        <v>525</v>
      </c>
      <c r="M19">
        <f t="shared" si="0"/>
        <v>0.3</v>
      </c>
      <c r="N19">
        <f t="shared" si="1"/>
        <v>0</v>
      </c>
      <c r="O19">
        <f t="shared" si="2"/>
        <v>0</v>
      </c>
    </row>
    <row r="20" spans="1:15" x14ac:dyDescent="0.25">
      <c r="A20">
        <v>18</v>
      </c>
      <c r="B20" s="11" t="s">
        <v>361</v>
      </c>
      <c r="C20" t="s">
        <v>364</v>
      </c>
      <c r="D20" t="s">
        <v>362</v>
      </c>
      <c r="E20">
        <v>0.3</v>
      </c>
      <c r="G20" t="b">
        <v>1</v>
      </c>
      <c r="L20" s="12" t="s">
        <v>525</v>
      </c>
      <c r="M20">
        <f t="shared" si="0"/>
        <v>0.3</v>
      </c>
      <c r="N20">
        <f t="shared" si="1"/>
        <v>0</v>
      </c>
      <c r="O20">
        <f t="shared" si="2"/>
        <v>0</v>
      </c>
    </row>
    <row r="21" spans="1:15" x14ac:dyDescent="0.25">
      <c r="A21">
        <v>19</v>
      </c>
      <c r="B21" s="11" t="s">
        <v>141</v>
      </c>
      <c r="C21" t="s">
        <v>307</v>
      </c>
      <c r="D21" t="s">
        <v>466</v>
      </c>
      <c r="E21">
        <v>0.5</v>
      </c>
      <c r="F21">
        <v>0.5</v>
      </c>
      <c r="G21" t="b">
        <v>1</v>
      </c>
      <c r="L21" s="12" t="s">
        <v>523</v>
      </c>
      <c r="M21">
        <f t="shared" si="0"/>
        <v>0</v>
      </c>
      <c r="N21">
        <f t="shared" si="1"/>
        <v>0</v>
      </c>
      <c r="O21">
        <f t="shared" si="2"/>
        <v>0</v>
      </c>
    </row>
    <row r="22" spans="1:15" x14ac:dyDescent="0.25">
      <c r="A22">
        <v>20</v>
      </c>
      <c r="B22" s="11" t="s">
        <v>345</v>
      </c>
      <c r="C22" t="s">
        <v>486</v>
      </c>
      <c r="D22" t="s">
        <v>487</v>
      </c>
      <c r="E22">
        <v>0.15</v>
      </c>
      <c r="F22">
        <v>0.15</v>
      </c>
      <c r="G22" t="b">
        <v>1</v>
      </c>
      <c r="I22">
        <v>5</v>
      </c>
      <c r="J22">
        <v>3</v>
      </c>
      <c r="K22" t="s">
        <v>372</v>
      </c>
      <c r="L22" s="12" t="s">
        <v>527</v>
      </c>
      <c r="M22">
        <f t="shared" si="0"/>
        <v>0.44999999999999996</v>
      </c>
      <c r="N22">
        <f t="shared" si="1"/>
        <v>15</v>
      </c>
      <c r="O22">
        <f t="shared" si="2"/>
        <v>1.5</v>
      </c>
    </row>
    <row r="23" spans="1:15" x14ac:dyDescent="0.25">
      <c r="A23">
        <v>21</v>
      </c>
      <c r="B23" s="11" t="s">
        <v>248</v>
      </c>
      <c r="C23" t="s">
        <v>347</v>
      </c>
      <c r="D23" t="s">
        <v>346</v>
      </c>
      <c r="E23">
        <v>100</v>
      </c>
      <c r="G23" t="b">
        <v>1</v>
      </c>
      <c r="L23" s="12" t="s">
        <v>525</v>
      </c>
      <c r="M23">
        <f t="shared" si="0"/>
        <v>100</v>
      </c>
      <c r="N23">
        <f t="shared" si="1"/>
        <v>0</v>
      </c>
      <c r="O23">
        <f t="shared" si="2"/>
        <v>0</v>
      </c>
    </row>
    <row r="24" spans="1:15" x14ac:dyDescent="0.25">
      <c r="A24">
        <v>22</v>
      </c>
      <c r="B24" s="11" t="s">
        <v>250</v>
      </c>
      <c r="C24" t="s">
        <v>349</v>
      </c>
      <c r="D24" t="s">
        <v>348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373</v>
      </c>
      <c r="L24" s="12" t="s">
        <v>527</v>
      </c>
      <c r="M24">
        <f t="shared" si="0"/>
        <v>1</v>
      </c>
      <c r="N24">
        <f t="shared" si="1"/>
        <v>15</v>
      </c>
      <c r="O24">
        <f t="shared" si="2"/>
        <v>1.5</v>
      </c>
    </row>
    <row r="25" spans="1:15" x14ac:dyDescent="0.25">
      <c r="A25">
        <v>23</v>
      </c>
      <c r="B25" s="11" t="s">
        <v>155</v>
      </c>
      <c r="C25" t="s">
        <v>308</v>
      </c>
      <c r="D25" t="s">
        <v>350</v>
      </c>
      <c r="E25">
        <v>0.4</v>
      </c>
      <c r="G25" t="b">
        <v>1</v>
      </c>
      <c r="L25" s="12" t="s">
        <v>525</v>
      </c>
      <c r="M25">
        <f t="shared" si="0"/>
        <v>0.4</v>
      </c>
      <c r="N25">
        <f t="shared" si="1"/>
        <v>0</v>
      </c>
      <c r="O25">
        <f t="shared" si="2"/>
        <v>0</v>
      </c>
    </row>
    <row r="26" spans="1:15" x14ac:dyDescent="0.25">
      <c r="A26">
        <v>24</v>
      </c>
      <c r="B26" s="11" t="s">
        <v>222</v>
      </c>
      <c r="C26" t="s">
        <v>309</v>
      </c>
      <c r="D26" t="s">
        <v>351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374</v>
      </c>
      <c r="L26" s="12" t="s">
        <v>527</v>
      </c>
      <c r="M26">
        <f t="shared" si="0"/>
        <v>1</v>
      </c>
      <c r="N26">
        <f t="shared" si="1"/>
        <v>15</v>
      </c>
      <c r="O26">
        <f t="shared" si="2"/>
        <v>1.5</v>
      </c>
    </row>
    <row r="27" spans="1:15" x14ac:dyDescent="0.25">
      <c r="A27">
        <v>25</v>
      </c>
      <c r="B27" s="11" t="s">
        <v>352</v>
      </c>
      <c r="C27" t="s">
        <v>310</v>
      </c>
      <c r="D27" t="s">
        <v>353</v>
      </c>
      <c r="E27">
        <v>1</v>
      </c>
      <c r="L27" s="12" t="s">
        <v>525</v>
      </c>
      <c r="M27">
        <f t="shared" si="0"/>
        <v>1</v>
      </c>
      <c r="N27">
        <f t="shared" si="1"/>
        <v>0</v>
      </c>
      <c r="O27">
        <f t="shared" si="2"/>
        <v>0</v>
      </c>
    </row>
    <row r="28" spans="1:15" x14ac:dyDescent="0.25">
      <c r="A28">
        <v>26</v>
      </c>
      <c r="B28" s="11" t="s">
        <v>226</v>
      </c>
      <c r="C28" t="s">
        <v>354</v>
      </c>
      <c r="D28" t="s">
        <v>355</v>
      </c>
      <c r="E28">
        <v>1</v>
      </c>
      <c r="G28" t="b">
        <v>1</v>
      </c>
      <c r="L28" s="12" t="s">
        <v>525</v>
      </c>
      <c r="M28">
        <f t="shared" si="0"/>
        <v>1</v>
      </c>
      <c r="N28">
        <f t="shared" si="1"/>
        <v>0</v>
      </c>
      <c r="O28">
        <f t="shared" si="2"/>
        <v>0</v>
      </c>
    </row>
    <row r="29" spans="1:15" x14ac:dyDescent="0.25">
      <c r="A29">
        <v>27</v>
      </c>
      <c r="B29" s="11" t="s">
        <v>144</v>
      </c>
      <c r="C29" t="s">
        <v>356</v>
      </c>
      <c r="D29" t="s">
        <v>357</v>
      </c>
      <c r="E29">
        <v>0.5</v>
      </c>
      <c r="G29" t="b">
        <v>1</v>
      </c>
      <c r="L29" s="12" t="s">
        <v>525</v>
      </c>
      <c r="M29">
        <f t="shared" si="0"/>
        <v>0.5</v>
      </c>
      <c r="N29">
        <f t="shared" si="1"/>
        <v>0</v>
      </c>
      <c r="O29">
        <f t="shared" si="2"/>
        <v>0</v>
      </c>
    </row>
    <row r="30" spans="1:15" x14ac:dyDescent="0.25">
      <c r="A30">
        <v>28</v>
      </c>
      <c r="B30" s="11" t="s">
        <v>134</v>
      </c>
      <c r="C30" t="s">
        <v>312</v>
      </c>
      <c r="D30" t="s">
        <v>473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375</v>
      </c>
      <c r="L30" s="12" t="s">
        <v>527</v>
      </c>
      <c r="M30">
        <f t="shared" si="0"/>
        <v>2</v>
      </c>
      <c r="N30">
        <f t="shared" si="1"/>
        <v>15</v>
      </c>
      <c r="O30">
        <f t="shared" si="2"/>
        <v>1.5</v>
      </c>
    </row>
    <row r="31" spans="1:15" x14ac:dyDescent="0.25">
      <c r="A31">
        <v>29</v>
      </c>
      <c r="B31" s="11" t="s">
        <v>156</v>
      </c>
      <c r="C31" t="s">
        <v>358</v>
      </c>
      <c r="D31" t="s">
        <v>359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376</v>
      </c>
      <c r="L31" s="12" t="s">
        <v>527</v>
      </c>
      <c r="M31">
        <f t="shared" si="0"/>
        <v>0.8</v>
      </c>
      <c r="N31">
        <f t="shared" si="1"/>
        <v>15</v>
      </c>
      <c r="O31">
        <f t="shared" si="2"/>
        <v>1.5</v>
      </c>
    </row>
    <row r="32" spans="1:15" x14ac:dyDescent="0.25">
      <c r="A32">
        <v>30</v>
      </c>
      <c r="B32" s="11" t="s">
        <v>145</v>
      </c>
      <c r="C32" t="s">
        <v>468</v>
      </c>
      <c r="D32" t="s">
        <v>467</v>
      </c>
      <c r="E32">
        <v>1</v>
      </c>
      <c r="F32">
        <v>1</v>
      </c>
      <c r="G32" t="b">
        <v>1</v>
      </c>
      <c r="I32">
        <v>5</v>
      </c>
      <c r="J32">
        <v>3</v>
      </c>
      <c r="K32" t="s">
        <v>377</v>
      </c>
      <c r="L32" s="12" t="s">
        <v>527</v>
      </c>
      <c r="M32">
        <f t="shared" si="0"/>
        <v>3</v>
      </c>
      <c r="N32">
        <f t="shared" si="1"/>
        <v>15</v>
      </c>
      <c r="O32">
        <f t="shared" si="2"/>
        <v>1.5</v>
      </c>
    </row>
    <row r="33" spans="1:15" x14ac:dyDescent="0.25">
      <c r="A33">
        <v>31</v>
      </c>
      <c r="B33" s="11" t="s">
        <v>399</v>
      </c>
      <c r="C33" t="s">
        <v>400</v>
      </c>
      <c r="D33" t="s">
        <v>401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378</v>
      </c>
      <c r="L33" s="12" t="s">
        <v>527</v>
      </c>
      <c r="M33">
        <f t="shared" si="0"/>
        <v>3</v>
      </c>
      <c r="N33">
        <f t="shared" si="1"/>
        <v>15</v>
      </c>
      <c r="O33">
        <f t="shared" si="2"/>
        <v>1.5</v>
      </c>
    </row>
    <row r="34" spans="1:15" x14ac:dyDescent="0.25">
      <c r="A34">
        <v>32</v>
      </c>
      <c r="B34" s="11" t="s">
        <v>146</v>
      </c>
      <c r="C34" t="s">
        <v>402</v>
      </c>
      <c r="D34" t="s">
        <v>403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379</v>
      </c>
      <c r="L34" s="12" t="s">
        <v>527</v>
      </c>
      <c r="M34">
        <f t="shared" si="0"/>
        <v>0.5</v>
      </c>
      <c r="N34">
        <f t="shared" si="1"/>
        <v>15</v>
      </c>
      <c r="O34">
        <f t="shared" si="2"/>
        <v>1.5</v>
      </c>
    </row>
    <row r="35" spans="1:15" x14ac:dyDescent="0.25">
      <c r="A35">
        <v>33</v>
      </c>
      <c r="B35" s="11" t="s">
        <v>404</v>
      </c>
      <c r="C35" t="s">
        <v>405</v>
      </c>
      <c r="D35" t="s">
        <v>406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380</v>
      </c>
      <c r="L35" s="12" t="s">
        <v>527</v>
      </c>
      <c r="M35">
        <f t="shared" si="0"/>
        <v>1</v>
      </c>
      <c r="N35">
        <f t="shared" si="1"/>
        <v>15</v>
      </c>
      <c r="O35">
        <f t="shared" si="2"/>
        <v>1.5</v>
      </c>
    </row>
    <row r="36" spans="1:15" x14ac:dyDescent="0.25">
      <c r="A36">
        <v>34</v>
      </c>
      <c r="B36" s="11" t="s">
        <v>407</v>
      </c>
      <c r="C36" t="s">
        <v>408</v>
      </c>
      <c r="D36" t="s">
        <v>409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381</v>
      </c>
      <c r="L36" s="12" t="s">
        <v>527</v>
      </c>
      <c r="M36">
        <f t="shared" si="0"/>
        <v>0.15000000000000002</v>
      </c>
      <c r="N36">
        <f t="shared" si="1"/>
        <v>15</v>
      </c>
      <c r="O36">
        <f t="shared" si="2"/>
        <v>1.5</v>
      </c>
    </row>
    <row r="37" spans="1:15" x14ac:dyDescent="0.25">
      <c r="A37">
        <v>35</v>
      </c>
      <c r="B37" s="11" t="s">
        <v>410</v>
      </c>
      <c r="C37" t="s">
        <v>411</v>
      </c>
      <c r="D37" t="s">
        <v>412</v>
      </c>
      <c r="E37">
        <v>2</v>
      </c>
      <c r="F37">
        <v>2</v>
      </c>
      <c r="I37">
        <v>5</v>
      </c>
      <c r="J37">
        <v>3</v>
      </c>
      <c r="K37" t="s">
        <v>382</v>
      </c>
      <c r="L37" s="12" t="s">
        <v>527</v>
      </c>
      <c r="M37">
        <f t="shared" si="0"/>
        <v>6</v>
      </c>
      <c r="N37">
        <f t="shared" si="1"/>
        <v>15</v>
      </c>
      <c r="O37">
        <f t="shared" si="2"/>
        <v>1.5</v>
      </c>
    </row>
    <row r="38" spans="1:15" x14ac:dyDescent="0.25">
      <c r="A38">
        <v>36</v>
      </c>
      <c r="B38" s="11" t="s">
        <v>158</v>
      </c>
      <c r="C38" t="s">
        <v>413</v>
      </c>
      <c r="D38" t="s">
        <v>414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383</v>
      </c>
      <c r="L38" s="12" t="s">
        <v>527</v>
      </c>
      <c r="M38">
        <f t="shared" si="0"/>
        <v>1.5</v>
      </c>
      <c r="N38">
        <f t="shared" si="1"/>
        <v>15</v>
      </c>
      <c r="O38">
        <f t="shared" si="2"/>
        <v>1.5</v>
      </c>
    </row>
    <row r="39" spans="1:15" x14ac:dyDescent="0.25">
      <c r="A39">
        <v>37</v>
      </c>
      <c r="B39" s="11" t="s">
        <v>415</v>
      </c>
      <c r="C39" t="s">
        <v>416</v>
      </c>
      <c r="D39" t="s">
        <v>417</v>
      </c>
      <c r="E39">
        <v>0.2</v>
      </c>
      <c r="G39" t="b">
        <v>1</v>
      </c>
      <c r="L39" s="12" t="s">
        <v>523</v>
      </c>
      <c r="M39">
        <f t="shared" si="0"/>
        <v>0.2</v>
      </c>
      <c r="N39">
        <f t="shared" si="1"/>
        <v>0</v>
      </c>
      <c r="O39">
        <f t="shared" si="2"/>
        <v>0</v>
      </c>
    </row>
    <row r="40" spans="1:15" x14ac:dyDescent="0.25">
      <c r="A40">
        <v>38</v>
      </c>
      <c r="B40" s="11" t="s">
        <v>418</v>
      </c>
      <c r="C40" t="s">
        <v>419</v>
      </c>
      <c r="D40" t="s">
        <v>420</v>
      </c>
      <c r="E40">
        <v>0.03</v>
      </c>
      <c r="G40" t="b">
        <v>1</v>
      </c>
      <c r="L40" s="12" t="s">
        <v>523</v>
      </c>
      <c r="M40">
        <f t="shared" si="0"/>
        <v>0.03</v>
      </c>
      <c r="N40">
        <f t="shared" si="1"/>
        <v>0</v>
      </c>
      <c r="O40">
        <f t="shared" si="2"/>
        <v>0</v>
      </c>
    </row>
    <row r="41" spans="1:15" x14ac:dyDescent="0.25">
      <c r="A41">
        <v>39</v>
      </c>
      <c r="B41" s="11" t="s">
        <v>162</v>
      </c>
      <c r="C41" t="s">
        <v>421</v>
      </c>
      <c r="D41" t="s">
        <v>422</v>
      </c>
      <c r="E41">
        <v>0.05</v>
      </c>
      <c r="G41" t="b">
        <v>1</v>
      </c>
      <c r="L41" s="12" t="s">
        <v>525</v>
      </c>
      <c r="M41">
        <f t="shared" si="0"/>
        <v>0.05</v>
      </c>
      <c r="N41">
        <f t="shared" si="1"/>
        <v>0</v>
      </c>
      <c r="O41">
        <f t="shared" si="2"/>
        <v>0</v>
      </c>
    </row>
    <row r="42" spans="1:15" x14ac:dyDescent="0.25">
      <c r="A42">
        <v>40</v>
      </c>
      <c r="B42" s="11" t="s">
        <v>164</v>
      </c>
      <c r="C42" t="s">
        <v>423</v>
      </c>
      <c r="D42" t="s">
        <v>424</v>
      </c>
      <c r="E42">
        <v>0.05</v>
      </c>
      <c r="G42" t="b">
        <v>1</v>
      </c>
      <c r="L42" s="12" t="s">
        <v>525</v>
      </c>
      <c r="M42">
        <f t="shared" si="0"/>
        <v>0.05</v>
      </c>
      <c r="N42">
        <f t="shared" si="1"/>
        <v>0</v>
      </c>
      <c r="O42">
        <f t="shared" si="2"/>
        <v>0</v>
      </c>
    </row>
    <row r="43" spans="1:15" x14ac:dyDescent="0.25">
      <c r="A43">
        <v>41</v>
      </c>
      <c r="B43" s="11" t="s">
        <v>143</v>
      </c>
      <c r="C43" t="s">
        <v>425</v>
      </c>
      <c r="D43" t="s">
        <v>426</v>
      </c>
      <c r="E43">
        <v>0.5</v>
      </c>
      <c r="G43" t="b">
        <v>1</v>
      </c>
      <c r="L43" s="12" t="s">
        <v>525</v>
      </c>
      <c r="M43">
        <f t="shared" si="0"/>
        <v>0.5</v>
      </c>
      <c r="N43">
        <f t="shared" si="1"/>
        <v>0</v>
      </c>
      <c r="O43">
        <f t="shared" si="2"/>
        <v>0</v>
      </c>
    </row>
    <row r="44" spans="1:15" x14ac:dyDescent="0.25">
      <c r="A44">
        <v>42</v>
      </c>
      <c r="B44" s="11" t="s">
        <v>167</v>
      </c>
      <c r="C44" t="s">
        <v>427</v>
      </c>
      <c r="D44" t="s">
        <v>428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384</v>
      </c>
      <c r="L44" s="12" t="s">
        <v>527</v>
      </c>
      <c r="M44">
        <f t="shared" si="0"/>
        <v>0.30000000000000004</v>
      </c>
      <c r="N44">
        <f t="shared" si="1"/>
        <v>15</v>
      </c>
      <c r="O44">
        <f t="shared" si="2"/>
        <v>1.5</v>
      </c>
    </row>
    <row r="45" spans="1:15" x14ac:dyDescent="0.25">
      <c r="A45">
        <v>43</v>
      </c>
      <c r="B45" s="11" t="s">
        <v>169</v>
      </c>
      <c r="C45" t="s">
        <v>429</v>
      </c>
      <c r="D45" t="s">
        <v>430</v>
      </c>
      <c r="E45">
        <v>0.3</v>
      </c>
      <c r="G45" t="b">
        <v>1</v>
      </c>
      <c r="J45">
        <v>1</v>
      </c>
      <c r="L45" s="12" t="s">
        <v>525</v>
      </c>
      <c r="M45">
        <f t="shared" si="0"/>
        <v>0.3</v>
      </c>
      <c r="N45">
        <f t="shared" si="1"/>
        <v>0</v>
      </c>
      <c r="O45">
        <f t="shared" si="2"/>
        <v>0</v>
      </c>
    </row>
    <row r="46" spans="1:15" x14ac:dyDescent="0.25">
      <c r="A46">
        <v>44</v>
      </c>
      <c r="B46" s="11" t="s">
        <v>171</v>
      </c>
      <c r="C46" t="s">
        <v>448</v>
      </c>
      <c r="D46" t="s">
        <v>431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385</v>
      </c>
      <c r="L46" s="12" t="s">
        <v>527</v>
      </c>
      <c r="M46">
        <f t="shared" si="0"/>
        <v>0.30000000000000004</v>
      </c>
      <c r="N46">
        <f t="shared" si="1"/>
        <v>15</v>
      </c>
      <c r="O46">
        <f t="shared" si="2"/>
        <v>1.5</v>
      </c>
    </row>
    <row r="47" spans="1:15" x14ac:dyDescent="0.25">
      <c r="A47">
        <v>45</v>
      </c>
      <c r="B47" s="11" t="s">
        <v>173</v>
      </c>
      <c r="C47" t="s">
        <v>432</v>
      </c>
      <c r="D47" t="s">
        <v>433</v>
      </c>
      <c r="E47">
        <v>0.3</v>
      </c>
      <c r="G47" t="b">
        <v>1</v>
      </c>
      <c r="L47" s="12" t="s">
        <v>525</v>
      </c>
      <c r="M47">
        <f t="shared" si="0"/>
        <v>0.3</v>
      </c>
      <c r="N47">
        <f t="shared" si="1"/>
        <v>0</v>
      </c>
      <c r="O47">
        <f t="shared" si="2"/>
        <v>0</v>
      </c>
    </row>
    <row r="48" spans="1:15" x14ac:dyDescent="0.25">
      <c r="A48">
        <v>46</v>
      </c>
      <c r="B48" s="11" t="s">
        <v>434</v>
      </c>
      <c r="C48" t="s">
        <v>435</v>
      </c>
      <c r="D48" t="s">
        <v>436</v>
      </c>
      <c r="E48">
        <v>50</v>
      </c>
      <c r="F48">
        <v>50</v>
      </c>
      <c r="I48">
        <v>5</v>
      </c>
      <c r="J48">
        <v>3</v>
      </c>
      <c r="K48" t="s">
        <v>386</v>
      </c>
      <c r="L48" s="12" t="s">
        <v>527</v>
      </c>
      <c r="M48">
        <f t="shared" si="0"/>
        <v>150</v>
      </c>
      <c r="N48">
        <f t="shared" si="1"/>
        <v>15</v>
      </c>
      <c r="O48">
        <f t="shared" si="2"/>
        <v>1.5</v>
      </c>
    </row>
    <row r="49" spans="1:15" x14ac:dyDescent="0.25">
      <c r="A49">
        <v>47</v>
      </c>
      <c r="B49" s="11" t="s">
        <v>437</v>
      </c>
      <c r="C49" t="s">
        <v>438</v>
      </c>
      <c r="D49" t="s">
        <v>439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387</v>
      </c>
      <c r="L49" s="12" t="s">
        <v>527</v>
      </c>
      <c r="M49">
        <f t="shared" si="0"/>
        <v>0.44999999999999996</v>
      </c>
      <c r="N49">
        <f t="shared" si="1"/>
        <v>15</v>
      </c>
      <c r="O49">
        <f t="shared" si="2"/>
        <v>1.5</v>
      </c>
    </row>
    <row r="50" spans="1:15" x14ac:dyDescent="0.25">
      <c r="A50">
        <v>48</v>
      </c>
      <c r="B50" s="11" t="s">
        <v>440</v>
      </c>
      <c r="C50" t="s">
        <v>441</v>
      </c>
      <c r="D50" t="s">
        <v>442</v>
      </c>
      <c r="E50">
        <v>1</v>
      </c>
      <c r="G50" t="b">
        <v>1</v>
      </c>
      <c r="L50" s="12" t="s">
        <v>525</v>
      </c>
      <c r="M50">
        <f t="shared" si="0"/>
        <v>1</v>
      </c>
      <c r="N50">
        <f t="shared" si="1"/>
        <v>0</v>
      </c>
      <c r="O50">
        <f t="shared" si="2"/>
        <v>0</v>
      </c>
    </row>
    <row r="51" spans="1:15" x14ac:dyDescent="0.25">
      <c r="A51">
        <v>49</v>
      </c>
      <c r="B51" s="11" t="s">
        <v>178</v>
      </c>
      <c r="C51" t="s">
        <v>489</v>
      </c>
      <c r="D51" t="s">
        <v>488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388</v>
      </c>
      <c r="L51" s="12" t="s">
        <v>527</v>
      </c>
      <c r="M51">
        <f t="shared" si="0"/>
        <v>0.60000000000000009</v>
      </c>
      <c r="N51">
        <f t="shared" si="1"/>
        <v>15</v>
      </c>
      <c r="O51">
        <f t="shared" si="2"/>
        <v>1.5</v>
      </c>
    </row>
    <row r="52" spans="1:15" x14ac:dyDescent="0.25">
      <c r="A52">
        <v>50</v>
      </c>
      <c r="B52" s="11" t="s">
        <v>180</v>
      </c>
      <c r="C52" t="s">
        <v>538</v>
      </c>
      <c r="D52" t="s">
        <v>539</v>
      </c>
      <c r="E52">
        <v>2</v>
      </c>
      <c r="J52">
        <v>1</v>
      </c>
      <c r="L52" s="12" t="s">
        <v>525</v>
      </c>
      <c r="M52">
        <f t="shared" si="0"/>
        <v>2</v>
      </c>
      <c r="N52">
        <f t="shared" si="1"/>
        <v>0</v>
      </c>
      <c r="O52">
        <f t="shared" si="2"/>
        <v>0</v>
      </c>
    </row>
    <row r="53" spans="1:15" x14ac:dyDescent="0.25">
      <c r="A53">
        <v>51</v>
      </c>
      <c r="B53" s="11" t="s">
        <v>395</v>
      </c>
      <c r="C53" t="s">
        <v>396</v>
      </c>
      <c r="D53" t="s">
        <v>397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389</v>
      </c>
      <c r="L53" s="12" t="s">
        <v>527</v>
      </c>
      <c r="M53">
        <f t="shared" si="0"/>
        <v>0.15000000000000002</v>
      </c>
      <c r="N53">
        <f t="shared" si="1"/>
        <v>15</v>
      </c>
      <c r="O53">
        <f t="shared" si="2"/>
        <v>1.5</v>
      </c>
    </row>
    <row r="54" spans="1:15" x14ac:dyDescent="0.25">
      <c r="A54">
        <v>52</v>
      </c>
      <c r="B54" s="11" t="s">
        <v>443</v>
      </c>
      <c r="C54" t="s">
        <v>451</v>
      </c>
      <c r="D54" t="s">
        <v>444</v>
      </c>
      <c r="E54">
        <v>1</v>
      </c>
      <c r="G54" t="b">
        <v>1</v>
      </c>
      <c r="L54" s="12" t="s">
        <v>523</v>
      </c>
      <c r="M54">
        <f t="shared" si="0"/>
        <v>1</v>
      </c>
      <c r="N54">
        <f t="shared" si="1"/>
        <v>0</v>
      </c>
      <c r="O54">
        <f t="shared" si="2"/>
        <v>0</v>
      </c>
    </row>
    <row r="55" spans="1:15" x14ac:dyDescent="0.25">
      <c r="A55">
        <v>53</v>
      </c>
      <c r="B55" s="11" t="s">
        <v>445</v>
      </c>
      <c r="C55" t="s">
        <v>446</v>
      </c>
      <c r="D55" t="s">
        <v>447</v>
      </c>
      <c r="E55">
        <v>0.15</v>
      </c>
      <c r="F55">
        <v>0.17499999999999999</v>
      </c>
      <c r="G55" t="b">
        <v>1</v>
      </c>
      <c r="I55">
        <v>5</v>
      </c>
      <c r="J55">
        <v>3</v>
      </c>
      <c r="K55" t="s">
        <v>390</v>
      </c>
      <c r="L55" s="12" t="s">
        <v>527</v>
      </c>
      <c r="M55">
        <f t="shared" si="0"/>
        <v>0.5</v>
      </c>
      <c r="N55">
        <f t="shared" si="1"/>
        <v>15</v>
      </c>
      <c r="O55">
        <f t="shared" si="2"/>
        <v>1.5</v>
      </c>
    </row>
    <row r="56" spans="1:15" x14ac:dyDescent="0.25">
      <c r="A56">
        <v>54</v>
      </c>
      <c r="B56" s="11" t="s">
        <v>187</v>
      </c>
      <c r="C56" t="s">
        <v>449</v>
      </c>
      <c r="D56" t="s">
        <v>398</v>
      </c>
      <c r="E56">
        <v>0.04</v>
      </c>
      <c r="F56">
        <v>0.03</v>
      </c>
      <c r="G56" t="b">
        <v>1</v>
      </c>
      <c r="I56">
        <v>5</v>
      </c>
      <c r="J56">
        <v>3</v>
      </c>
      <c r="K56" t="s">
        <v>391</v>
      </c>
      <c r="L56" s="12" t="s">
        <v>527</v>
      </c>
      <c r="M56">
        <f t="shared" si="0"/>
        <v>0.1</v>
      </c>
      <c r="N56">
        <f t="shared" si="1"/>
        <v>15</v>
      </c>
      <c r="O56">
        <f t="shared" si="2"/>
        <v>1.5</v>
      </c>
    </row>
    <row r="57" spans="1:15" x14ac:dyDescent="0.25">
      <c r="A57">
        <v>55</v>
      </c>
      <c r="B57" s="11" t="s">
        <v>189</v>
      </c>
      <c r="C57" t="s">
        <v>314</v>
      </c>
      <c r="D57" t="s">
        <v>450</v>
      </c>
      <c r="E57">
        <v>5</v>
      </c>
      <c r="F57">
        <v>5</v>
      </c>
      <c r="I57">
        <v>5</v>
      </c>
      <c r="J57">
        <v>3</v>
      </c>
      <c r="K57" t="s">
        <v>392</v>
      </c>
      <c r="L57" s="12" t="s">
        <v>527</v>
      </c>
      <c r="M57">
        <f t="shared" si="0"/>
        <v>15</v>
      </c>
      <c r="N57">
        <f t="shared" si="1"/>
        <v>15</v>
      </c>
      <c r="O57">
        <f t="shared" si="2"/>
        <v>1.5</v>
      </c>
    </row>
    <row r="58" spans="1:15" x14ac:dyDescent="0.25">
      <c r="A58">
        <v>56</v>
      </c>
      <c r="B58" s="11" t="s">
        <v>453</v>
      </c>
      <c r="C58" t="s">
        <v>315</v>
      </c>
      <c r="D58" t="s">
        <v>452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393</v>
      </c>
      <c r="L58" s="12" t="s">
        <v>527</v>
      </c>
      <c r="M58">
        <f t="shared" si="0"/>
        <v>0.30000000000000004</v>
      </c>
      <c r="N58">
        <f t="shared" si="1"/>
        <v>15</v>
      </c>
      <c r="O58">
        <f t="shared" si="2"/>
        <v>1.5</v>
      </c>
    </row>
    <row r="59" spans="1:15" x14ac:dyDescent="0.25">
      <c r="A59">
        <v>57</v>
      </c>
      <c r="B59" s="11" t="s">
        <v>295</v>
      </c>
      <c r="C59" t="s">
        <v>456</v>
      </c>
      <c r="D59" t="s">
        <v>457</v>
      </c>
      <c r="E59">
        <v>1.5</v>
      </c>
      <c r="F59">
        <v>1.5</v>
      </c>
      <c r="I59">
        <v>5</v>
      </c>
      <c r="J59">
        <v>3</v>
      </c>
      <c r="K59" t="s">
        <v>394</v>
      </c>
      <c r="L59" s="12" t="s">
        <v>527</v>
      </c>
      <c r="M59">
        <f t="shared" si="0"/>
        <v>4.5</v>
      </c>
      <c r="N59">
        <f t="shared" si="1"/>
        <v>15</v>
      </c>
      <c r="O59">
        <f t="shared" si="2"/>
        <v>1.5</v>
      </c>
    </row>
    <row r="60" spans="1:15" x14ac:dyDescent="0.25">
      <c r="A60">
        <v>58</v>
      </c>
      <c r="B60" s="11" t="s">
        <v>131</v>
      </c>
      <c r="C60" t="s">
        <v>313</v>
      </c>
      <c r="D60" t="s">
        <v>469</v>
      </c>
      <c r="E60">
        <v>0.2</v>
      </c>
      <c r="G60" t="b">
        <v>1</v>
      </c>
      <c r="L60" s="12" t="s">
        <v>525</v>
      </c>
      <c r="M60">
        <f t="shared" si="0"/>
        <v>0.2</v>
      </c>
      <c r="N60">
        <f t="shared" si="1"/>
        <v>0</v>
      </c>
      <c r="O60">
        <f t="shared" si="2"/>
        <v>0</v>
      </c>
    </row>
    <row r="61" spans="1:15" x14ac:dyDescent="0.25">
      <c r="A61">
        <v>59</v>
      </c>
      <c r="B61" s="11" t="s">
        <v>340</v>
      </c>
      <c r="C61" t="s">
        <v>503</v>
      </c>
      <c r="D61" t="s">
        <v>497</v>
      </c>
      <c r="E61">
        <v>1</v>
      </c>
      <c r="G61" t="b">
        <v>1</v>
      </c>
      <c r="L61" s="12" t="s">
        <v>523</v>
      </c>
      <c r="M61">
        <f t="shared" si="0"/>
        <v>1</v>
      </c>
      <c r="N61">
        <f t="shared" si="1"/>
        <v>0</v>
      </c>
      <c r="O61">
        <f t="shared" si="2"/>
        <v>0</v>
      </c>
    </row>
    <row r="62" spans="1:15" x14ac:dyDescent="0.25">
      <c r="A62">
        <v>60</v>
      </c>
      <c r="B62" s="11" t="s">
        <v>341</v>
      </c>
      <c r="C62" t="s">
        <v>505</v>
      </c>
      <c r="D62" t="s">
        <v>498</v>
      </c>
      <c r="E62">
        <v>0.6</v>
      </c>
      <c r="G62" t="b">
        <v>1</v>
      </c>
      <c r="L62" s="12" t="s">
        <v>523</v>
      </c>
      <c r="M62">
        <f t="shared" si="0"/>
        <v>0.6</v>
      </c>
      <c r="N62">
        <f t="shared" si="1"/>
        <v>0</v>
      </c>
      <c r="O62">
        <f t="shared" si="2"/>
        <v>0</v>
      </c>
    </row>
    <row r="63" spans="1:15" x14ac:dyDescent="0.25">
      <c r="A63">
        <v>61</v>
      </c>
      <c r="B63" s="11" t="s">
        <v>491</v>
      </c>
      <c r="C63" t="s">
        <v>506</v>
      </c>
      <c r="D63" t="s">
        <v>504</v>
      </c>
      <c r="E63">
        <v>0.7</v>
      </c>
      <c r="G63" t="b">
        <v>1</v>
      </c>
      <c r="L63" s="12" t="s">
        <v>523</v>
      </c>
      <c r="M63">
        <f t="shared" si="0"/>
        <v>0.7</v>
      </c>
      <c r="N63">
        <f t="shared" si="1"/>
        <v>0</v>
      </c>
      <c r="O63">
        <f t="shared" si="2"/>
        <v>0</v>
      </c>
    </row>
    <row r="64" spans="1:15" x14ac:dyDescent="0.25">
      <c r="A64">
        <v>62</v>
      </c>
      <c r="B64" s="11" t="s">
        <v>492</v>
      </c>
      <c r="C64" t="s">
        <v>509</v>
      </c>
      <c r="D64" t="s">
        <v>532</v>
      </c>
      <c r="E64">
        <v>0.1</v>
      </c>
      <c r="G64" t="b">
        <v>1</v>
      </c>
      <c r="L64" s="12" t="s">
        <v>523</v>
      </c>
      <c r="M64">
        <f t="shared" si="0"/>
        <v>0.1</v>
      </c>
      <c r="N64">
        <f t="shared" si="1"/>
        <v>0</v>
      </c>
      <c r="O64">
        <f t="shared" si="2"/>
        <v>0</v>
      </c>
    </row>
    <row r="65" spans="1:15" x14ac:dyDescent="0.25">
      <c r="A65">
        <v>63</v>
      </c>
      <c r="B65" s="11" t="s">
        <v>511</v>
      </c>
      <c r="C65" t="s">
        <v>512</v>
      </c>
      <c r="D65" t="s">
        <v>533</v>
      </c>
      <c r="E65">
        <v>2</v>
      </c>
      <c r="G65" t="b">
        <v>1</v>
      </c>
      <c r="L65" s="12" t="s">
        <v>523</v>
      </c>
      <c r="M65">
        <f t="shared" si="0"/>
        <v>2</v>
      </c>
      <c r="N65">
        <f t="shared" si="1"/>
        <v>0</v>
      </c>
      <c r="O65">
        <f t="shared" si="2"/>
        <v>0</v>
      </c>
    </row>
    <row r="66" spans="1:15" x14ac:dyDescent="0.25">
      <c r="A66">
        <v>64</v>
      </c>
      <c r="B66" s="11" t="s">
        <v>490</v>
      </c>
      <c r="C66" t="s">
        <v>510</v>
      </c>
      <c r="D66" t="s">
        <v>534</v>
      </c>
      <c r="E66">
        <v>2</v>
      </c>
      <c r="G66" t="b">
        <v>1</v>
      </c>
      <c r="L66" s="12" t="s">
        <v>523</v>
      </c>
      <c r="M66">
        <f t="shared" si="0"/>
        <v>2</v>
      </c>
      <c r="N66">
        <f t="shared" si="1"/>
        <v>0</v>
      </c>
      <c r="O66">
        <f t="shared" si="2"/>
        <v>0</v>
      </c>
    </row>
    <row r="67" spans="1:15" x14ac:dyDescent="0.25">
      <c r="A67">
        <v>65</v>
      </c>
      <c r="B67" s="11" t="s">
        <v>495</v>
      </c>
      <c r="C67" t="s">
        <v>507</v>
      </c>
      <c r="D67" t="s">
        <v>535</v>
      </c>
      <c r="E67">
        <v>2</v>
      </c>
      <c r="G67" t="b">
        <v>1</v>
      </c>
      <c r="L67" s="12" t="s">
        <v>523</v>
      </c>
      <c r="M67">
        <f t="shared" si="0"/>
        <v>2</v>
      </c>
      <c r="N67">
        <f t="shared" si="1"/>
        <v>0</v>
      </c>
      <c r="O67">
        <f t="shared" si="2"/>
        <v>0</v>
      </c>
    </row>
    <row r="68" spans="1:15" x14ac:dyDescent="0.25">
      <c r="A68">
        <v>66</v>
      </c>
      <c r="B68" s="11" t="s">
        <v>494</v>
      </c>
      <c r="C68" t="s">
        <v>508</v>
      </c>
      <c r="D68" t="s">
        <v>536</v>
      </c>
      <c r="E68">
        <v>2</v>
      </c>
      <c r="G68" t="b">
        <v>1</v>
      </c>
      <c r="L68" s="12" t="s">
        <v>523</v>
      </c>
      <c r="M68">
        <f t="shared" ref="M68:M72" si="3">E68+F68*(J68-1)</f>
        <v>2</v>
      </c>
      <c r="N68">
        <f t="shared" ref="N68:N72" si="4">(H68+(H68+I68*(J68-1)))*J68/2</f>
        <v>0</v>
      </c>
      <c r="O68">
        <f t="shared" ref="O68:O72" si="5">N68/10</f>
        <v>0</v>
      </c>
    </row>
    <row r="69" spans="1:15" x14ac:dyDescent="0.25">
      <c r="A69">
        <v>67</v>
      </c>
      <c r="B69" s="11" t="s">
        <v>513</v>
      </c>
      <c r="C69" t="s">
        <v>515</v>
      </c>
      <c r="D69" t="s">
        <v>499</v>
      </c>
      <c r="E69">
        <v>1</v>
      </c>
      <c r="G69" t="b">
        <v>1</v>
      </c>
      <c r="L69" s="12" t="s">
        <v>525</v>
      </c>
      <c r="M69">
        <f t="shared" si="3"/>
        <v>1</v>
      </c>
      <c r="N69">
        <f t="shared" si="4"/>
        <v>0</v>
      </c>
      <c r="O69">
        <f t="shared" si="5"/>
        <v>0</v>
      </c>
    </row>
    <row r="70" spans="1:15" x14ac:dyDescent="0.25">
      <c r="A70">
        <v>68</v>
      </c>
      <c r="B70" s="11" t="s">
        <v>514</v>
      </c>
      <c r="C70" t="s">
        <v>516</v>
      </c>
      <c r="D70" t="s">
        <v>500</v>
      </c>
      <c r="E70">
        <v>1</v>
      </c>
      <c r="G70" t="b">
        <v>1</v>
      </c>
      <c r="L70" s="12" t="s">
        <v>525</v>
      </c>
      <c r="M70">
        <f t="shared" si="3"/>
        <v>1</v>
      </c>
      <c r="N70">
        <f t="shared" si="4"/>
        <v>0</v>
      </c>
      <c r="O70">
        <f t="shared" si="5"/>
        <v>0</v>
      </c>
    </row>
    <row r="71" spans="1:15" x14ac:dyDescent="0.25">
      <c r="A71">
        <v>69</v>
      </c>
      <c r="B71" s="11" t="s">
        <v>496</v>
      </c>
      <c r="C71" t="s">
        <v>517</v>
      </c>
      <c r="D71" t="s">
        <v>501</v>
      </c>
      <c r="E71">
        <v>1</v>
      </c>
      <c r="G71" t="b">
        <v>1</v>
      </c>
      <c r="L71" s="12" t="s">
        <v>525</v>
      </c>
      <c r="M71">
        <f t="shared" si="3"/>
        <v>1</v>
      </c>
      <c r="N71">
        <f t="shared" si="4"/>
        <v>0</v>
      </c>
      <c r="O71">
        <f t="shared" si="5"/>
        <v>0</v>
      </c>
    </row>
    <row r="72" spans="1:15" x14ac:dyDescent="0.25">
      <c r="A72">
        <v>70</v>
      </c>
      <c r="B72" s="11" t="s">
        <v>493</v>
      </c>
      <c r="C72" t="s">
        <v>518</v>
      </c>
      <c r="D72" t="s">
        <v>502</v>
      </c>
      <c r="E72">
        <v>1</v>
      </c>
      <c r="G72" t="b">
        <v>1</v>
      </c>
      <c r="L72" s="12" t="s">
        <v>525</v>
      </c>
      <c r="M72">
        <f t="shared" si="3"/>
        <v>1</v>
      </c>
      <c r="N72">
        <f t="shared" si="4"/>
        <v>0</v>
      </c>
      <c r="O72">
        <f t="shared" si="5"/>
        <v>0</v>
      </c>
    </row>
    <row r="73" spans="1:15" x14ac:dyDescent="0.25">
      <c r="A73" t="s">
        <v>4</v>
      </c>
      <c r="B73" s="4"/>
      <c r="C73" s="4"/>
      <c r="L73" s="12"/>
      <c r="N73">
        <f>SUM(N3:N72)</f>
        <v>450</v>
      </c>
      <c r="O73">
        <f>N73/10</f>
        <v>45</v>
      </c>
    </row>
    <row r="74" spans="1:15" s="5" customFormat="1" x14ac:dyDescent="0.25">
      <c r="A74" s="5">
        <v>2</v>
      </c>
      <c r="B74" s="5" t="s">
        <v>101</v>
      </c>
      <c r="C74" s="6" t="s">
        <v>97</v>
      </c>
      <c r="D74" s="5" t="s">
        <v>470</v>
      </c>
      <c r="E74" s="5">
        <v>0.4</v>
      </c>
      <c r="F74" s="5">
        <v>0.4</v>
      </c>
      <c r="I74" s="5">
        <v>5</v>
      </c>
      <c r="J74" s="5">
        <v>3</v>
      </c>
      <c r="K74" s="5" t="s">
        <v>87</v>
      </c>
      <c r="L74" s="13"/>
      <c r="M74" s="5">
        <f>E74+F74*(J74-1)</f>
        <v>1.2000000000000002</v>
      </c>
      <c r="N74" s="5">
        <f>(H74+(H74+I74*(J74-1)))*J74/2</f>
        <v>15</v>
      </c>
      <c r="O74" s="5">
        <f>N74/10</f>
        <v>1.5</v>
      </c>
    </row>
    <row r="75" spans="1:15" s="5" customFormat="1" x14ac:dyDescent="0.25">
      <c r="A75" s="5">
        <v>3</v>
      </c>
      <c r="B75" s="14" t="s">
        <v>132</v>
      </c>
      <c r="C75" s="5" t="s">
        <v>100</v>
      </c>
      <c r="D75" s="5" t="s">
        <v>471</v>
      </c>
      <c r="E75" s="5">
        <v>0.04</v>
      </c>
      <c r="F75" s="5">
        <v>0.03</v>
      </c>
      <c r="G75" s="5" t="b">
        <v>1</v>
      </c>
      <c r="I75" s="5">
        <v>5</v>
      </c>
      <c r="J75" s="5">
        <v>3</v>
      </c>
      <c r="K75" s="5" t="s">
        <v>89</v>
      </c>
      <c r="L75" s="13"/>
      <c r="M75" s="5">
        <f>E75+F75*(J75-1)</f>
        <v>0.1</v>
      </c>
      <c r="N75" s="5">
        <f>(H75+(H75+I75*(J75-1)))*J75/2</f>
        <v>15</v>
      </c>
      <c r="O75" s="5">
        <f>N75/10</f>
        <v>1.5</v>
      </c>
    </row>
    <row r="76" spans="1:15" s="5" customFormat="1" x14ac:dyDescent="0.25">
      <c r="A76" s="5">
        <v>28</v>
      </c>
      <c r="B76" s="5" t="s">
        <v>225</v>
      </c>
      <c r="C76" s="5" t="s">
        <v>311</v>
      </c>
      <c r="D76" s="5" t="s">
        <v>472</v>
      </c>
      <c r="E76" s="5">
        <v>2</v>
      </c>
      <c r="F76" s="5">
        <v>1</v>
      </c>
      <c r="I76" s="5">
        <v>5</v>
      </c>
      <c r="J76" s="5">
        <v>3</v>
      </c>
      <c r="K76" s="5" t="s">
        <v>255</v>
      </c>
      <c r="L76" s="13"/>
      <c r="M76" s="5">
        <f>E76+F76*(J76-1)</f>
        <v>4</v>
      </c>
      <c r="N76" s="5">
        <f>(H76+(H76+I76*(J76-1)))*J76/2</f>
        <v>15</v>
      </c>
      <c r="O76" s="5">
        <f>N76/10</f>
        <v>1.5</v>
      </c>
    </row>
    <row r="77" spans="1:15" x14ac:dyDescent="0.25">
      <c r="L77" s="12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G2" sqref="G2:G4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85</v>
      </c>
      <c r="D1" s="1" t="s">
        <v>86</v>
      </c>
      <c r="G1" s="1" t="s">
        <v>521</v>
      </c>
      <c r="H1" s="1" t="s">
        <v>522</v>
      </c>
    </row>
    <row r="2" spans="1:8" x14ac:dyDescent="0.25">
      <c r="A2" s="2" t="s">
        <v>61</v>
      </c>
      <c r="B2" s="2" t="s">
        <v>48</v>
      </c>
      <c r="C2" t="s">
        <v>88</v>
      </c>
      <c r="D2" s="4" t="s">
        <v>299</v>
      </c>
      <c r="E2" s="2" t="s">
        <v>98</v>
      </c>
      <c r="G2" t="s">
        <v>524</v>
      </c>
      <c r="H2" t="s">
        <v>531</v>
      </c>
    </row>
    <row r="3" spans="1:8" x14ac:dyDescent="0.2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  <c r="G3" t="s">
        <v>526</v>
      </c>
      <c r="H3" t="s">
        <v>530</v>
      </c>
    </row>
    <row r="4" spans="1:8" x14ac:dyDescent="0.25">
      <c r="A4" s="2" t="s">
        <v>57</v>
      </c>
      <c r="B4" s="2" t="s">
        <v>54</v>
      </c>
      <c r="C4" t="s">
        <v>89</v>
      </c>
      <c r="D4" s="4" t="s">
        <v>132</v>
      </c>
      <c r="E4" t="s">
        <v>100</v>
      </c>
      <c r="G4" t="s">
        <v>528</v>
      </c>
      <c r="H4" t="s">
        <v>529</v>
      </c>
    </row>
    <row r="5" spans="1:8" x14ac:dyDescent="0.25">
      <c r="A5" s="2" t="s">
        <v>58</v>
      </c>
      <c r="B5" s="2" t="s">
        <v>52</v>
      </c>
      <c r="C5" t="s">
        <v>90</v>
      </c>
      <c r="D5" s="4" t="s">
        <v>152</v>
      </c>
      <c r="E5" s="4" t="s">
        <v>96</v>
      </c>
    </row>
    <row r="6" spans="1:8" x14ac:dyDescent="0.25">
      <c r="A6" s="2" t="s">
        <v>11</v>
      </c>
      <c r="B6" s="2" t="s">
        <v>31</v>
      </c>
      <c r="C6" t="s">
        <v>301</v>
      </c>
      <c r="D6" t="s">
        <v>136</v>
      </c>
      <c r="E6" t="s">
        <v>128</v>
      </c>
    </row>
    <row r="7" spans="1:8" x14ac:dyDescent="0.25">
      <c r="A7" s="2" t="s">
        <v>38</v>
      </c>
      <c r="B7" s="2" t="s">
        <v>35</v>
      </c>
      <c r="C7" t="s">
        <v>300</v>
      </c>
      <c r="D7" t="s">
        <v>137</v>
      </c>
      <c r="E7" t="s">
        <v>129</v>
      </c>
    </row>
    <row r="8" spans="1:8" x14ac:dyDescent="0.25">
      <c r="A8" s="2" t="s">
        <v>39</v>
      </c>
      <c r="B8" s="2" t="s">
        <v>36</v>
      </c>
      <c r="C8" t="s">
        <v>302</v>
      </c>
      <c r="D8" t="s">
        <v>138</v>
      </c>
      <c r="E8" t="s">
        <v>130</v>
      </c>
    </row>
    <row r="9" spans="1:8" x14ac:dyDescent="0.25">
      <c r="A9" s="2" t="s">
        <v>12</v>
      </c>
      <c r="B9" s="2" t="s">
        <v>32</v>
      </c>
      <c r="C9" t="s">
        <v>231</v>
      </c>
      <c r="D9" t="s">
        <v>133</v>
      </c>
      <c r="E9" t="s">
        <v>195</v>
      </c>
    </row>
    <row r="10" spans="1:8" x14ac:dyDescent="0.25">
      <c r="A10" s="2" t="s">
        <v>79</v>
      </c>
      <c r="B10" s="2" t="s">
        <v>80</v>
      </c>
      <c r="C10" t="s">
        <v>232</v>
      </c>
      <c r="D10" t="s">
        <v>139</v>
      </c>
      <c r="E10" t="s">
        <v>196</v>
      </c>
    </row>
    <row r="11" spans="1:8" x14ac:dyDescent="0.25">
      <c r="A11" s="2" t="s">
        <v>78</v>
      </c>
      <c r="B11" s="2" t="s">
        <v>5</v>
      </c>
      <c r="C11" t="s">
        <v>316</v>
      </c>
      <c r="D11" t="s">
        <v>140</v>
      </c>
      <c r="E11" t="s">
        <v>197</v>
      </c>
    </row>
    <row r="12" spans="1:8" x14ac:dyDescent="0.25">
      <c r="A12" s="2" t="s">
        <v>13</v>
      </c>
      <c r="B12" s="2" t="s">
        <v>6</v>
      </c>
      <c r="C12" t="s">
        <v>233</v>
      </c>
      <c r="D12" t="s">
        <v>198</v>
      </c>
      <c r="E12" t="s">
        <v>199</v>
      </c>
    </row>
    <row r="13" spans="1:8" x14ac:dyDescent="0.25">
      <c r="A13" s="2" t="s">
        <v>14</v>
      </c>
      <c r="B13" s="2" t="s">
        <v>33</v>
      </c>
      <c r="C13" t="s">
        <v>234</v>
      </c>
      <c r="D13" t="s">
        <v>147</v>
      </c>
      <c r="E13" t="s">
        <v>200</v>
      </c>
    </row>
    <row r="14" spans="1:8" x14ac:dyDescent="0.25">
      <c r="A14" s="2" t="s">
        <v>40</v>
      </c>
      <c r="B14" s="2" t="s">
        <v>7</v>
      </c>
      <c r="C14" t="s">
        <v>235</v>
      </c>
      <c r="D14" t="s">
        <v>148</v>
      </c>
      <c r="E14" t="s">
        <v>201</v>
      </c>
    </row>
    <row r="15" spans="1:8" x14ac:dyDescent="0.25">
      <c r="A15" s="2" t="s">
        <v>59</v>
      </c>
      <c r="B15" s="2" t="s">
        <v>244</v>
      </c>
      <c r="C15" t="s">
        <v>236</v>
      </c>
      <c r="D15" t="s">
        <v>149</v>
      </c>
      <c r="E15" t="s">
        <v>202</v>
      </c>
    </row>
    <row r="16" spans="1:8" x14ac:dyDescent="0.25">
      <c r="A16" s="2" t="s">
        <v>60</v>
      </c>
      <c r="B16" s="2" t="s">
        <v>46</v>
      </c>
      <c r="C16" t="s">
        <v>237</v>
      </c>
      <c r="D16" t="s">
        <v>150</v>
      </c>
      <c r="E16" t="s">
        <v>203</v>
      </c>
    </row>
    <row r="17" spans="1:5" x14ac:dyDescent="0.25">
      <c r="A17" s="2" t="s">
        <v>37</v>
      </c>
      <c r="B17" s="2" t="s">
        <v>34</v>
      </c>
      <c r="C17" t="s">
        <v>238</v>
      </c>
      <c r="D17" t="s">
        <v>135</v>
      </c>
      <c r="E17" t="s">
        <v>204</v>
      </c>
    </row>
    <row r="18" spans="1:5" x14ac:dyDescent="0.25">
      <c r="C18" t="s">
        <v>239</v>
      </c>
      <c r="D18" t="s">
        <v>205</v>
      </c>
      <c r="E18" t="s">
        <v>206</v>
      </c>
    </row>
    <row r="19" spans="1:5" x14ac:dyDescent="0.25">
      <c r="C19" t="s">
        <v>241</v>
      </c>
      <c r="D19" t="s">
        <v>240</v>
      </c>
      <c r="E19" t="s">
        <v>207</v>
      </c>
    </row>
    <row r="20" spans="1:5" x14ac:dyDescent="0.25">
      <c r="C20" t="s">
        <v>242</v>
      </c>
      <c r="D20" t="s">
        <v>151</v>
      </c>
      <c r="E20" t="s">
        <v>208</v>
      </c>
    </row>
    <row r="21" spans="1:5" x14ac:dyDescent="0.25">
      <c r="C21" t="s">
        <v>245</v>
      </c>
      <c r="D21" t="s">
        <v>243</v>
      </c>
      <c r="E21" t="s">
        <v>209</v>
      </c>
    </row>
    <row r="22" spans="1:5" x14ac:dyDescent="0.25">
      <c r="C22" t="s">
        <v>247</v>
      </c>
      <c r="D22" t="s">
        <v>141</v>
      </c>
      <c r="E22" t="s">
        <v>153</v>
      </c>
    </row>
    <row r="23" spans="1:5" x14ac:dyDescent="0.25">
      <c r="C23" t="s">
        <v>246</v>
      </c>
      <c r="D23" t="s">
        <v>142</v>
      </c>
      <c r="E23" t="s">
        <v>221</v>
      </c>
    </row>
    <row r="24" spans="1:5" x14ac:dyDescent="0.25">
      <c r="C24" t="s">
        <v>249</v>
      </c>
      <c r="D24" t="s">
        <v>248</v>
      </c>
      <c r="E24" t="s">
        <v>154</v>
      </c>
    </row>
    <row r="25" spans="1:5" x14ac:dyDescent="0.25">
      <c r="C25" t="s">
        <v>251</v>
      </c>
      <c r="D25" t="s">
        <v>250</v>
      </c>
      <c r="E25" t="s">
        <v>210</v>
      </c>
    </row>
    <row r="26" spans="1:5" x14ac:dyDescent="0.25">
      <c r="C26" t="s">
        <v>252</v>
      </c>
      <c r="D26" t="s">
        <v>155</v>
      </c>
      <c r="E26" t="s">
        <v>228</v>
      </c>
    </row>
    <row r="27" spans="1:5" x14ac:dyDescent="0.25">
      <c r="C27" t="s">
        <v>253</v>
      </c>
      <c r="D27" t="s">
        <v>222</v>
      </c>
      <c r="E27" t="s">
        <v>211</v>
      </c>
    </row>
    <row r="28" spans="1:5" x14ac:dyDescent="0.25">
      <c r="C28" t="s">
        <v>254</v>
      </c>
      <c r="D28" t="s">
        <v>223</v>
      </c>
      <c r="E28" t="s">
        <v>224</v>
      </c>
    </row>
    <row r="29" spans="1:5" x14ac:dyDescent="0.25">
      <c r="C29" t="s">
        <v>255</v>
      </c>
      <c r="D29" t="s">
        <v>225</v>
      </c>
      <c r="E29" t="s">
        <v>212</v>
      </c>
    </row>
    <row r="30" spans="1:5" x14ac:dyDescent="0.25">
      <c r="C30" t="s">
        <v>256</v>
      </c>
      <c r="D30" t="s">
        <v>226</v>
      </c>
      <c r="E30" t="s">
        <v>227</v>
      </c>
    </row>
    <row r="31" spans="1:5" x14ac:dyDescent="0.25">
      <c r="C31" t="s">
        <v>257</v>
      </c>
      <c r="D31" t="s">
        <v>144</v>
      </c>
      <c r="E31" t="s">
        <v>213</v>
      </c>
    </row>
    <row r="32" spans="1:5" x14ac:dyDescent="0.25">
      <c r="C32" t="s">
        <v>258</v>
      </c>
      <c r="D32" t="s">
        <v>134</v>
      </c>
      <c r="E32" t="s">
        <v>214</v>
      </c>
    </row>
    <row r="33" spans="3:5" x14ac:dyDescent="0.25">
      <c r="C33" t="s">
        <v>259</v>
      </c>
      <c r="D33" t="s">
        <v>156</v>
      </c>
      <c r="E33" t="s">
        <v>215</v>
      </c>
    </row>
    <row r="34" spans="3:5" x14ac:dyDescent="0.25">
      <c r="C34" t="s">
        <v>260</v>
      </c>
      <c r="D34" t="s">
        <v>145</v>
      </c>
      <c r="E34" t="s">
        <v>229</v>
      </c>
    </row>
    <row r="35" spans="3:5" x14ac:dyDescent="0.25">
      <c r="C35" t="s">
        <v>262</v>
      </c>
      <c r="D35" t="s">
        <v>261</v>
      </c>
      <c r="E35" t="s">
        <v>157</v>
      </c>
    </row>
    <row r="36" spans="3:5" x14ac:dyDescent="0.25">
      <c r="C36" t="s">
        <v>263</v>
      </c>
      <c r="D36" t="s">
        <v>146</v>
      </c>
      <c r="E36" t="s">
        <v>216</v>
      </c>
    </row>
    <row r="37" spans="3:5" x14ac:dyDescent="0.25">
      <c r="C37" t="s">
        <v>264</v>
      </c>
      <c r="D37" t="s">
        <v>217</v>
      </c>
      <c r="E37" t="s">
        <v>218</v>
      </c>
    </row>
    <row r="38" spans="3:5" x14ac:dyDescent="0.25">
      <c r="C38" t="s">
        <v>265</v>
      </c>
      <c r="D38" t="s">
        <v>219</v>
      </c>
      <c r="E38" t="s">
        <v>220</v>
      </c>
    </row>
    <row r="39" spans="3:5" x14ac:dyDescent="0.25">
      <c r="C39" t="s">
        <v>267</v>
      </c>
      <c r="D39" t="s">
        <v>266</v>
      </c>
      <c r="E39" t="s">
        <v>230</v>
      </c>
    </row>
    <row r="40" spans="3:5" x14ac:dyDescent="0.25">
      <c r="C40" t="s">
        <v>268</v>
      </c>
      <c r="D40" t="s">
        <v>158</v>
      </c>
      <c r="E40" t="s">
        <v>159</v>
      </c>
    </row>
    <row r="41" spans="3:5" x14ac:dyDescent="0.25">
      <c r="C41" t="s">
        <v>270</v>
      </c>
      <c r="D41" t="s">
        <v>269</v>
      </c>
      <c r="E41" t="s">
        <v>160</v>
      </c>
    </row>
    <row r="42" spans="3:5" x14ac:dyDescent="0.25">
      <c r="C42" t="s">
        <v>272</v>
      </c>
      <c r="D42" t="s">
        <v>271</v>
      </c>
      <c r="E42" t="s">
        <v>161</v>
      </c>
    </row>
    <row r="43" spans="3:5" x14ac:dyDescent="0.25">
      <c r="C43" t="s">
        <v>273</v>
      </c>
      <c r="D43" t="s">
        <v>162</v>
      </c>
      <c r="E43" t="s">
        <v>163</v>
      </c>
    </row>
    <row r="44" spans="3:5" x14ac:dyDescent="0.25">
      <c r="C44" t="s">
        <v>274</v>
      </c>
      <c r="D44" t="s">
        <v>164</v>
      </c>
      <c r="E44" t="s">
        <v>165</v>
      </c>
    </row>
    <row r="45" spans="3:5" x14ac:dyDescent="0.25">
      <c r="C45" t="s">
        <v>275</v>
      </c>
      <c r="D45" t="s">
        <v>143</v>
      </c>
      <c r="E45" t="s">
        <v>166</v>
      </c>
    </row>
    <row r="46" spans="3:5" x14ac:dyDescent="0.25">
      <c r="C46" t="s">
        <v>278</v>
      </c>
      <c r="D46" t="s">
        <v>167</v>
      </c>
      <c r="E46" t="s">
        <v>168</v>
      </c>
    </row>
    <row r="47" spans="3:5" x14ac:dyDescent="0.25">
      <c r="C47" t="s">
        <v>276</v>
      </c>
      <c r="D47" t="s">
        <v>169</v>
      </c>
      <c r="E47" t="s">
        <v>170</v>
      </c>
    </row>
    <row r="48" spans="3:5" x14ac:dyDescent="0.25">
      <c r="C48" t="s">
        <v>279</v>
      </c>
      <c r="D48" t="s">
        <v>171</v>
      </c>
      <c r="E48" t="s">
        <v>172</v>
      </c>
    </row>
    <row r="49" spans="3:5" x14ac:dyDescent="0.25">
      <c r="C49" t="s">
        <v>277</v>
      </c>
      <c r="D49" t="s">
        <v>173</v>
      </c>
      <c r="E49" t="s">
        <v>174</v>
      </c>
    </row>
    <row r="50" spans="3:5" x14ac:dyDescent="0.25">
      <c r="C50" t="s">
        <v>281</v>
      </c>
      <c r="D50" t="s">
        <v>280</v>
      </c>
      <c r="E50" t="s">
        <v>175</v>
      </c>
    </row>
    <row r="51" spans="3:5" x14ac:dyDescent="0.25">
      <c r="C51" t="s">
        <v>283</v>
      </c>
      <c r="D51" t="s">
        <v>282</v>
      </c>
      <c r="E51" t="s">
        <v>176</v>
      </c>
    </row>
    <row r="52" spans="3:5" x14ac:dyDescent="0.25">
      <c r="C52" t="s">
        <v>285</v>
      </c>
      <c r="D52" t="s">
        <v>284</v>
      </c>
      <c r="E52" t="s">
        <v>177</v>
      </c>
    </row>
    <row r="53" spans="3:5" x14ac:dyDescent="0.25">
      <c r="C53" t="s">
        <v>286</v>
      </c>
      <c r="D53" t="s">
        <v>178</v>
      </c>
      <c r="E53" t="s">
        <v>179</v>
      </c>
    </row>
    <row r="54" spans="3:5" x14ac:dyDescent="0.25">
      <c r="C54" t="s">
        <v>287</v>
      </c>
      <c r="D54" t="s">
        <v>180</v>
      </c>
      <c r="E54" t="s">
        <v>181</v>
      </c>
    </row>
    <row r="55" spans="3:5" x14ac:dyDescent="0.25">
      <c r="C55" t="s">
        <v>289</v>
      </c>
      <c r="D55" t="s">
        <v>288</v>
      </c>
      <c r="E55" t="s">
        <v>182</v>
      </c>
    </row>
    <row r="56" spans="3:5" x14ac:dyDescent="0.25">
      <c r="C56" t="s">
        <v>290</v>
      </c>
      <c r="D56" t="s">
        <v>183</v>
      </c>
      <c r="E56" t="s">
        <v>184</v>
      </c>
    </row>
    <row r="57" spans="3:5" x14ac:dyDescent="0.25">
      <c r="C57" t="s">
        <v>291</v>
      </c>
      <c r="D57" t="s">
        <v>185</v>
      </c>
      <c r="E57" t="s">
        <v>186</v>
      </c>
    </row>
    <row r="58" spans="3:5" x14ac:dyDescent="0.25">
      <c r="C58" t="s">
        <v>292</v>
      </c>
      <c r="D58" t="s">
        <v>187</v>
      </c>
      <c r="E58" t="s">
        <v>188</v>
      </c>
    </row>
    <row r="59" spans="3:5" x14ac:dyDescent="0.25">
      <c r="C59" t="s">
        <v>293</v>
      </c>
      <c r="D59" t="s">
        <v>189</v>
      </c>
      <c r="E59" t="s">
        <v>190</v>
      </c>
    </row>
    <row r="60" spans="3:5" x14ac:dyDescent="0.25">
      <c r="C60" t="s">
        <v>298</v>
      </c>
      <c r="D60" t="s">
        <v>191</v>
      </c>
      <c r="E60" t="s">
        <v>294</v>
      </c>
    </row>
    <row r="61" spans="3:5" x14ac:dyDescent="0.25">
      <c r="C61" t="s">
        <v>296</v>
      </c>
      <c r="D61" t="s">
        <v>295</v>
      </c>
      <c r="E61" t="s">
        <v>192</v>
      </c>
    </row>
    <row r="62" spans="3:5" x14ac:dyDescent="0.25">
      <c r="C62" t="s">
        <v>297</v>
      </c>
      <c r="D62" t="s">
        <v>131</v>
      </c>
      <c r="E62" t="s">
        <v>193</v>
      </c>
    </row>
    <row r="63" spans="3:5" x14ac:dyDescent="0.25">
      <c r="D63" t="s">
        <v>474</v>
      </c>
      <c r="E63" t="s">
        <v>462</v>
      </c>
    </row>
    <row r="64" spans="3:5" x14ac:dyDescent="0.25">
      <c r="D64" t="s">
        <v>341</v>
      </c>
      <c r="E64" t="s">
        <v>342</v>
      </c>
    </row>
    <row r="65" spans="4:5" x14ac:dyDescent="0.25">
      <c r="D65" t="s">
        <v>326</v>
      </c>
      <c r="E65" t="s">
        <v>320</v>
      </c>
    </row>
    <row r="66" spans="4:5" x14ac:dyDescent="0.25">
      <c r="D66" t="s">
        <v>327</v>
      </c>
      <c r="E66" t="s">
        <v>321</v>
      </c>
    </row>
    <row r="67" spans="4:5" x14ac:dyDescent="0.25">
      <c r="D67" t="s">
        <v>328</v>
      </c>
      <c r="E67" t="s">
        <v>323</v>
      </c>
    </row>
    <row r="68" spans="4:5" x14ac:dyDescent="0.25">
      <c r="D68" t="s">
        <v>329</v>
      </c>
      <c r="E68" t="s">
        <v>322</v>
      </c>
    </row>
    <row r="69" spans="4:5" x14ac:dyDescent="0.25">
      <c r="D69" t="s">
        <v>330</v>
      </c>
      <c r="E69" t="s">
        <v>324</v>
      </c>
    </row>
    <row r="70" spans="4:5" x14ac:dyDescent="0.25">
      <c r="D70" t="s">
        <v>331</v>
      </c>
      <c r="E70" t="s">
        <v>325</v>
      </c>
    </row>
    <row r="71" spans="4:5" x14ac:dyDescent="0.25">
      <c r="D71" t="s">
        <v>336</v>
      </c>
      <c r="E71" t="s">
        <v>333</v>
      </c>
    </row>
    <row r="72" spans="4:5" x14ac:dyDescent="0.25">
      <c r="D72" t="s">
        <v>337</v>
      </c>
      <c r="E72" t="s">
        <v>332</v>
      </c>
    </row>
    <row r="73" spans="4:5" x14ac:dyDescent="0.25">
      <c r="D73" t="s">
        <v>338</v>
      </c>
      <c r="E73" t="s">
        <v>334</v>
      </c>
    </row>
    <row r="74" spans="4:5" x14ac:dyDescent="0.25">
      <c r="D74" t="s">
        <v>339</v>
      </c>
      <c r="E74" t="s">
        <v>335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2019-01-03T15:24:30Z</dcterms:modified>
</cp:coreProperties>
</file>