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00" windowWidth="14805" windowHeight="6615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Strengthen!$A$1:$B$16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15" i="1" l="1"/>
  <c r="L14" i="1"/>
  <c r="L13" i="1"/>
  <c r="L12" i="1"/>
  <c r="L11" i="1"/>
  <c r="L10" i="1"/>
  <c r="L9" i="1"/>
  <c r="L8" i="1"/>
  <c r="L7" i="1"/>
  <c r="L6" i="1"/>
  <c r="L5" i="1"/>
  <c r="L4" i="1"/>
  <c r="L3" i="1"/>
  <c r="M5" i="1" l="1"/>
  <c r="M4" i="1"/>
  <c r="M3" i="1"/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7" i="1" l="1"/>
  <c r="M8" i="1"/>
  <c r="M9" i="1"/>
  <c r="M10" i="1"/>
  <c r="M11" i="1"/>
  <c r="M12" i="1"/>
  <c r="M13" i="1"/>
  <c r="M14" i="1"/>
  <c r="M15" i="1"/>
  <c r="M6" i="1"/>
  <c r="N73" i="6"/>
  <c r="M3" i="6" l="1"/>
  <c r="M22" i="1" l="1"/>
  <c r="C20" i="1"/>
  <c r="C21" i="1"/>
  <c r="C17" i="1"/>
  <c r="C18" i="1"/>
  <c r="C19" i="1"/>
  <c r="C16" i="1"/>
</calcChain>
</file>

<file path=xl/sharedStrings.xml><?xml version="1.0" encoding="utf-8"?>
<sst xmlns="http://schemas.openxmlformats.org/spreadsheetml/2006/main" count="700" uniqueCount="557">
  <si>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</si>
  <si>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</si>
  <si>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</si>
  <si>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</si>
  <si>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</si>
  <si>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</si>
  <si>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</si>
  <si>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</si>
  <si>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</si>
  <si>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</si>
  <si>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</si>
  <si>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</si>
  <si>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</si>
  <si>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</si>
  <si>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</si>
  <si>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</si>
  <si>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</si>
  <si>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</si>
  <si>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</si>
  <si>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</si>
  <si>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</si>
  <si>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</si>
  <si>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</si>
  <si>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</si>
  <si>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</si>
  <si>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</si>
  <si>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</si>
  <si>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</si>
  <si>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</si>
  <si>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</si>
  <si>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</si>
  <si>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</si>
  <si>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</si>
  <si>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</si>
  <si>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</si>
  <si>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</si>
  <si>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</si>
  <si>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</si>
  <si>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</si>
  <si>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</si>
  <si>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</si>
  <si>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</si>
  <si>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</si>
  <si>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</si>
  <si>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</si>
  <si>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</si>
  <si>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</si>
  <si>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</si>
  <si>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</si>
  <si>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</si>
  <si>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</si>
  <si>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</si>
  <si>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</si>
  <si>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</si>
  <si>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</si>
  <si>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</si>
  <si>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</si>
  <si>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</si>
  <si>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</si>
  <si>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</si>
  <si>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</si>
  <si>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</si>
  <si>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</si>
  <si>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</si>
  <si>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</si>
  <si>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</si>
  <si>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</si>
  <si>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</si>
  <si>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</si>
  <si>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</si>
  <si>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</si>
  <si>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</si>
  <si>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</si>
  <si>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</si>
  <si>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</si>
  <si>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</si>
  <si>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</si>
  <si>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</si>
  <si>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</si>
  <si>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</si>
  <si>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</si>
  <si>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</si>
  <si>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</si>
  <si>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</si>
  <si>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</si>
  <si>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</si>
  <si>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</si>
  <si>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</si>
  <si>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</si>
  <si>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</si>
  <si>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</si>
  <si>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</si>
  <si>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</si>
  <si>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</si>
  <si>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</si>
  <si>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</si>
  <si>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</si>
  <si>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</si>
  <si>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</si>
  <si>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</si>
  <si>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</si>
  <si>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</si>
  <si>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AvatarPotionBuff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</si>
  <si>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</si>
  <si>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</si>
  <si>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</si>
  <si>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</si>
  <si>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</si>
  <si>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</si>
  <si>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</si>
  <si>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</si>
  <si>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</si>
  <si>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</si>
  <si>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</si>
  <si>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</si>
  <si>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</si>
  <si>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</si>
  <si>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</si>
  <si>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</si>
  <si>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</si>
  <si>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</si>
  <si>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</si>
  <si>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</si>
  <si>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</si>
  <si>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</si>
  <si>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</si>
  <si>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</si>
  <si>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</si>
  <si>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</si>
  <si>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</si>
  <si>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</si>
  <si>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</si>
  <si>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</si>
  <si>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</si>
  <si>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</si>
  <si>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</si>
  <si>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</si>
  <si>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</si>
  <si>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</si>
  <si>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</si>
  <si>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</si>
  <si>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</si>
  <si>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</si>
  <si>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</si>
  <si>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</si>
  <si>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</si>
  <si>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</si>
  <si>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</si>
  <si>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</si>
  <si>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</si>
  <si>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</si>
  <si>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</si>
  <si>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</si>
  <si>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</si>
  <si>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</si>
  <si>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</si>
  <si>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</si>
  <si>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</si>
  <si>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</si>
  <si>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</si>
  <si>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</si>
  <si>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</si>
  <si>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</si>
  <si>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</si>
  <si>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</si>
  <si>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</si>
  <si>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</si>
  <si>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</si>
  <si>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</si>
  <si>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</si>
  <si>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</si>
  <si>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</si>
  <si>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</si>
  <si>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</si>
  <si>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</si>
  <si>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</si>
  <si>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</si>
  <si>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</si>
  <si>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</si>
  <si>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</si>
  <si>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</si>
  <si>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</si>
  <si>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</si>
  <si>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</si>
  <si>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</si>
  <si>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</si>
  <si>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</si>
  <si>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</si>
  <si>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</si>
  <si>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</si>
  <si>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</si>
  <si>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</si>
  <si>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</si>
  <si>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</si>
  <si>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</si>
  <si>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</si>
  <si>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</si>
  <si>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</si>
  <si>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</si>
  <si>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</si>
  <si>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</si>
  <si>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</si>
  <si>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</si>
  <si>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</si>
  <si>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</si>
  <si>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</si>
  <si>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</si>
  <si>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</si>
  <si>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</si>
  <si>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</si>
  <si>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</si>
  <si>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</si>
  <si>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</si>
  <si>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</si>
  <si>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</si>
  <si>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</si>
  <si>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</si>
  <si>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</si>
  <si>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</si>
  <si>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</si>
  <si>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</si>
  <si>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</si>
  <si>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</si>
  <si>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</si>
  <si>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</si>
  <si>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</si>
  <si>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</si>
  <si>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</si>
  <si>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</si>
  <si>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</si>
  <si>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</si>
  <si>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</si>
  <si>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</si>
  <si>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</si>
  <si>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</si>
  <si>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</si>
  <si>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</si>
  <si>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</si>
  <si>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</si>
  <si>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</si>
  <si>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</si>
  <si>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</si>
  <si>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</si>
  <si>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</si>
  <si>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</si>
  <si>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</si>
  <si>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</si>
  <si>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</si>
  <si>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</si>
  <si>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</si>
  <si>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</si>
  <si>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</si>
  <si>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</si>
  <si>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</si>
  <si>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</si>
  <si>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</si>
  <si>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</si>
  <si>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</si>
  <si>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</si>
  <si>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</si>
  <si>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</si>
  <si>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</si>
  <si>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</si>
  <si>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</si>
  <si>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</si>
  <si>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</si>
  <si>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</si>
  <si>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</si>
  <si>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</si>
  <si>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</si>
  <si>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</si>
  <si>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</si>
  <si>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</si>
  <si>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</si>
  <si>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</si>
  <si>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</si>
  <si>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</si>
  <si>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</si>
  <si>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</si>
  <si>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</si>
  <si>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</si>
  <si>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</si>
  <si>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</si>
  <si>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</si>
  <si>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</si>
  <si>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</si>
  <si>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</si>
  <si>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</si>
  <si>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</si>
  <si>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</si>
  <si>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</si>
  <si>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</si>
  <si>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</si>
  <si>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</si>
  <si>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</si>
  <si>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</si>
  <si>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</si>
  <si>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</si>
  <si>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</si>
  <si>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</si>
  <si>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</si>
  <si>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</si>
  <si>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</si>
  <si>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</si>
  <si>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</si>
  <si>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</si>
  <si>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</si>
  <si>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</si>
  <si>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</si>
  <si>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</si>
  <si>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</si>
  <si>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</si>
  <si>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</si>
  <si>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</si>
  <si>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</si>
  <si>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</si>
  <si>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</si>
  <si>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</si>
  <si>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</si>
  <si>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</si>
  <si>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</si>
  <si>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</si>
  <si>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</si>
  <si>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</si>
  <si>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</si>
  <si>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</si>
  <si>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</si>
  <si>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</si>
  <si>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</si>
  <si>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</si>
  <si>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</si>
  <si>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</si>
  <si>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</si>
  <si>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</si>
  <si>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</si>
  <si>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</si>
  <si>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</si>
  <si>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</si>
  <si>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</si>
  <si>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</si>
  <si>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</si>
  <si>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</si>
  <si>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</si>
  <si>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</si>
  <si>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</si>
  <si>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</si>
  <si>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</si>
  <si>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</si>
  <si>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</si>
  <si>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</si>
  <si>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</si>
  <si>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</si>
  <si>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</si>
  <si>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</si>
  <si>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</si>
  <si>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</si>
  <si>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</si>
  <si>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</si>
  <si>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</si>
  <si>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</si>
  <si>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</si>
  <si>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</si>
  <si>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</si>
  <si>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</si>
  <si>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</si>
  <si>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</si>
  <si>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</si>
  <si>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</si>
  <si>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</si>
  <si>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</si>
  <si>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</si>
  <si>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</si>
  <si>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</si>
  <si>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</si>
  <si>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</si>
  <si>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</si>
  <si>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</si>
  <si>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</si>
  <si>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</si>
  <si>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</si>
  <si>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</si>
  <si>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</si>
  <si>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</si>
  <si>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</si>
  <si>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</si>
  <si>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</si>
  <si>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</si>
  <si>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</si>
  <si>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</si>
  <si>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</si>
  <si>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</si>
  <si>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</si>
  <si>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</si>
  <si>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</si>
  <si>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</si>
  <si>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</si>
  <si>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</si>
  <si>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</si>
  <si>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</si>
  <si>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</si>
  <si>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</si>
  <si>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</si>
  <si>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</si>
  <si>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</si>
  <si>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</si>
  <si>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</si>
  <si>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</si>
  <si>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</si>
  <si>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</si>
  <si>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</si>
  <si>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</si>
  <si>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</si>
  <si>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</si>
  <si>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</si>
  <si>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</si>
  <si>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</si>
  <si>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</si>
  <si>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</si>
  <si>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</si>
  <si>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</si>
  <si>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</si>
  <si>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</si>
  <si>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</si>
  <si>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</si>
  <si>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</si>
  <si>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</si>
  <si>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</si>
  <si>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</si>
  <si>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</si>
  <si>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</si>
  <si>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</si>
  <si>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</si>
  <si>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</si>
  <si>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</si>
  <si>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</si>
  <si>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</si>
  <si>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</si>
  <si>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</si>
  <si>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</si>
  <si>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</si>
  <si>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</si>
  <si>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</si>
  <si>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</si>
  <si>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</si>
  <si>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</si>
  <si>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</si>
  <si>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</si>
  <si>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</si>
  <si>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</si>
  <si>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</si>
  <si>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</si>
  <si>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</si>
  <si>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</si>
  <si>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</si>
  <si>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</si>
  <si>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</si>
  <si>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</si>
  <si>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</si>
  <si>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</si>
  <si>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</si>
  <si>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</si>
  <si>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</si>
  <si>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</si>
  <si>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</si>
  <si>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</si>
  <si>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</si>
  <si>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</si>
  <si>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</si>
  <si>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</si>
  <si>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</si>
  <si>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</si>
  <si>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</si>
  <si>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</si>
  <si>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</si>
  <si>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</si>
  <si>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</si>
  <si>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</si>
  <si>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</si>
  <si>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</si>
  <si>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</si>
  <si>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</si>
  <si>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</si>
  <si>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</si>
  <si>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</si>
  <si>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</si>
  <si>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</si>
  <si>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</si>
  <si>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</si>
  <si>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</si>
  <si>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</si>
  <si>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</si>
  <si>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</si>
  <si>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</si>
  <si>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</si>
  <si>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</si>
  <si>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</si>
  <si>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</si>
  <si>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</si>
  <si>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</si>
  <si>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</si>
  <si>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</si>
  <si>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</si>
  <si>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</si>
  <si>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</si>
  <si>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</si>
  <si>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</si>
  <si>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</si>
  <si>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</si>
  <si>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</si>
  <si>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</si>
  <si>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</si>
  <si>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</si>
  <si>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</si>
  <si>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</si>
  <si>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</si>
  <si>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</si>
  <si>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</si>
  <si>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</si>
  <si>
    <t>ReAvatar</t>
    <phoneticPr fontId="1" type="noConversion"/>
  </si>
  <si>
    <t>SplashThorn</t>
    <phoneticPr fontId="1" type="noConversion"/>
  </si>
  <si>
    <t>DashImpact</t>
    <phoneticPr fontId="1" type="noConversion"/>
  </si>
  <si>
    <t>生命</t>
    <phoneticPr fontId="1" type="noConversion"/>
  </si>
  <si>
    <t>護盾</t>
    <phoneticPr fontId="1" type="noConversion"/>
  </si>
  <si>
    <t>RandomBlade</t>
    <phoneticPr fontId="1" type="noConversion"/>
  </si>
  <si>
    <t>IceShield</t>
    <phoneticPr fontId="1" type="noConversion"/>
  </si>
  <si>
    <t>AutoHeal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</si>
  <si>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</si>
  <si>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</si>
  <si>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WeaponDamage</t>
    <phoneticPr fontId="1" type="noConversion"/>
  </si>
  <si>
    <t>刀子傷害</t>
    <phoneticPr fontId="1" type="noConversion"/>
  </si>
  <si>
    <t>增加最大生命上限{0}</t>
    <phoneticPr fontId="1" type="noConversion"/>
  </si>
  <si>
    <t>增加最大護盾上限{0}</t>
    <phoneticPr fontId="1" type="noConversion"/>
  </si>
  <si>
    <t>增加基本移動速度{0}</t>
    <phoneticPr fontId="1" type="noConversion"/>
  </si>
  <si>
    <t>增加移動速度的最高上限{0}</t>
    <phoneticPr fontId="1" type="noConversion"/>
  </si>
  <si>
    <t>延長擊殺怪物時的加速持續時間{0}秒</t>
    <phoneticPr fontId="1" type="noConversion"/>
  </si>
  <si>
    <t>喝下英雄精華獲得的變身時間增加{0}秒</t>
    <phoneticPr fontId="1" type="noConversion"/>
  </si>
  <si>
    <t>增加怪物零魂的持續時間{0}秒</t>
    <phoneticPr fontId="1" type="noConversion"/>
  </si>
  <si>
    <t>增加擊殺怪物時掉落靈魂的機率{0}</t>
    <phoneticPr fontId="1" type="noConversion"/>
  </si>
  <si>
    <t>增加擊殺怪物後高品質裝備的掉落運氣{0}</t>
    <phoneticPr fontId="1" type="noConversion"/>
  </si>
  <si>
    <t>增加擊殺怪物獲得的金幣{0}</t>
    <phoneticPr fontId="1" type="noConversion"/>
  </si>
  <si>
    <t>增加擊殺怪物後掉落藥水的機率{0}</t>
    <phoneticPr fontId="1" type="noConversion"/>
  </si>
  <si>
    <t>增加開場時英雄狀態的持續時間{0}秒</t>
    <phoneticPr fontId="1" type="noConversion"/>
  </si>
  <si>
    <t>刀子擊殺有額外{0}機率掉落更多金幣</t>
    <phoneticPr fontId="1" type="noConversion"/>
  </si>
  <si>
    <t>護盾回滿後被打碎會放出冰凍衝擊波，冰凍效果持續{0}秒</t>
    <phoneticPr fontId="3" type="noConversion"/>
  </si>
  <si>
    <t>使用刀子殺死敵方怪物生命上限成長{0}</t>
    <phoneticPr fontId="1" type="noConversion"/>
  </si>
  <si>
    <t>衝刺時有{0}機率反彈敵方子彈</t>
    <phoneticPr fontId="1" type="noConversion"/>
  </si>
  <si>
    <t>增加自動吸引藥水的距離{0}</t>
    <phoneticPr fontId="1" type="noConversion"/>
  </si>
  <si>
    <t>喝藥水時有{0}機率解除任意一個負面元素效果</t>
    <phoneticPr fontId="1" type="noConversion"/>
  </si>
  <si>
    <t>護盾存在時受到元素傷害有{0}機率不會受負面元素效果影響</t>
    <phoneticPr fontId="1" type="noConversion"/>
  </si>
  <si>
    <t>增加變回史萊姆時的移動速度(跳躍間隔減少{0})</t>
    <phoneticPr fontId="1" type="noConversion"/>
  </si>
  <si>
    <t>延長剛變回史萊姆時的無敵時間{0}</t>
    <phoneticPr fontId="1" type="noConversion"/>
  </si>
  <si>
    <t>變為史萊姆時向四周發射發飛針，每發針刺造成{0}刀子傷害</t>
    <phoneticPr fontId="1" type="noConversion"/>
  </si>
  <si>
    <t>怪物靈魂的攻擊間隔時間減少{0}</t>
    <phoneticPr fontId="1" type="noConversion"/>
  </si>
  <si>
    <t>每多一隻怪物靈魂，減少{0}受到的近戰傷害</t>
    <phoneticPr fontId="1" type="noConversion"/>
  </si>
  <si>
    <t>自身後方受到的子彈傷害降低{0}</t>
    <phoneticPr fontId="1" type="noConversion"/>
  </si>
  <si>
    <t>連續對同個目標使用刀子攻擊時，每第3下攻擊造成額外{0}刀子傷害</t>
    <phoneticPr fontId="1" type="noConversion"/>
  </si>
  <si>
    <t>擊殺BOSS時有額外{0}機率掉落更多寶石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</si>
</sst>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22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5" sqref="J5"/>
    </sheetView>
  </sheetViews>
  <sheetFormatPr defaultRowHeight="16.5" x14ac:dyDescent="0.25"/>
  <cols>
    <col min="2" max="2" width="14" customWidth="1"/>
    <col min="3" max="3" width="41.125" style="2" bestFit="1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113</v>
      </c>
      <c r="M2" s="7" t="s">
        <v>114</v>
      </c>
    </row>
    <row r="3" spans="1:13" x14ac:dyDescent="0.25">
      <c r="A3">
        <v>1</v>
      </c>
      <c r="B3" t="s">
        <v>521</v>
      </c>
      <c r="C3" s="2" t="s">
        <v>530</v>
      </c>
      <c r="D3" s="2" t="s">
        <v>56</v>
      </c>
      <c r="E3" s="2">
        <v>0</v>
      </c>
      <c r="F3" s="2">
        <v>20</v>
      </c>
      <c r="H3" s="2">
        <v>300</v>
      </c>
      <c r="I3" s="2">
        <v>300</v>
      </c>
      <c r="J3">
        <v>1000</v>
      </c>
      <c r="K3" s="2" t="s">
        <v>525</v>
      </c>
      <c r="L3">
        <f>E3+F3*(J3)</f>
        <v>20000</v>
      </c>
      <c r="M3">
        <f>H3+(H3+I3*(J3-1))*J3/2</f>
        <v>150000300</v>
      </c>
    </row>
    <row r="4" spans="1:13" x14ac:dyDescent="0.25">
      <c r="A4">
        <v>2</v>
      </c>
      <c r="B4" t="s">
        <v>526</v>
      </c>
      <c r="C4" s="2" t="s">
        <v>527</v>
      </c>
      <c r="D4" s="2" t="s">
        <v>528</v>
      </c>
      <c r="E4" s="2">
        <v>0</v>
      </c>
      <c r="F4" s="2">
        <v>1</v>
      </c>
      <c r="H4" s="2">
        <v>300</v>
      </c>
      <c r="I4" s="2">
        <v>300</v>
      </c>
      <c r="J4">
        <v>1000</v>
      </c>
      <c r="K4" s="2" t="s">
        <v>523</v>
      </c>
      <c r="L4">
        <f t="shared" ref="L4:L15" si="0">E4+F4*(J4)</f>
        <v>1000</v>
      </c>
      <c r="M4">
        <f t="shared" ref="M4:M5" si="1">H4+(H4+I4*(J4-1))*J4/2</f>
        <v>150000300</v>
      </c>
    </row>
    <row r="5" spans="1:13" x14ac:dyDescent="0.25">
      <c r="A5">
        <v>3</v>
      </c>
      <c r="B5" t="s">
        <v>522</v>
      </c>
      <c r="C5" s="2" t="s">
        <v>531</v>
      </c>
      <c r="D5" s="2" t="s">
        <v>57</v>
      </c>
      <c r="E5" s="2">
        <v>0</v>
      </c>
      <c r="F5" s="2">
        <v>10</v>
      </c>
      <c r="H5" s="2">
        <v>300</v>
      </c>
      <c r="I5" s="2">
        <v>300</v>
      </c>
      <c r="J5">
        <v>1000</v>
      </c>
      <c r="K5" s="2" t="s">
        <v>524</v>
      </c>
      <c r="L5">
        <f t="shared" si="0"/>
        <v>10000</v>
      </c>
      <c r="M5">
        <f t="shared" si="1"/>
        <v>150000300</v>
      </c>
    </row>
    <row r="6" spans="1:13" x14ac:dyDescent="0.25">
      <c r="A6">
        <v>4</v>
      </c>
      <c r="B6" t="s">
        <v>111</v>
      </c>
      <c r="C6" s="2" t="s">
        <v>532</v>
      </c>
      <c r="D6" s="2" t="s">
        <v>41</v>
      </c>
      <c r="E6" s="2">
        <v>0</v>
      </c>
      <c r="F6" s="2">
        <v>10</v>
      </c>
      <c r="H6" s="2">
        <v>100</v>
      </c>
      <c r="I6" s="2">
        <v>100</v>
      </c>
      <c r="J6">
        <v>20</v>
      </c>
      <c r="K6" s="2" t="s">
        <v>69</v>
      </c>
      <c r="L6">
        <f t="shared" si="0"/>
        <v>200</v>
      </c>
      <c r="M6">
        <f>H6+(H6+I6*(J6-1))*J6/2</f>
        <v>20100</v>
      </c>
    </row>
    <row r="7" spans="1:13" x14ac:dyDescent="0.25">
      <c r="A7">
        <v>5</v>
      </c>
      <c r="B7" t="s">
        <v>112</v>
      </c>
      <c r="C7" s="2" t="s">
        <v>533</v>
      </c>
      <c r="D7" s="2" t="s">
        <v>42</v>
      </c>
      <c r="E7" s="2">
        <v>0</v>
      </c>
      <c r="F7" s="2">
        <v>20</v>
      </c>
      <c r="H7" s="2">
        <v>100</v>
      </c>
      <c r="I7" s="2">
        <v>100</v>
      </c>
      <c r="J7">
        <v>20</v>
      </c>
      <c r="K7" s="2" t="s">
        <v>68</v>
      </c>
      <c r="L7">
        <f t="shared" si="0"/>
        <v>400</v>
      </c>
      <c r="M7">
        <f t="shared" ref="M7:M15" si="2">H7+(H7+I7*(J7-1))*J7/2</f>
        <v>20100</v>
      </c>
    </row>
    <row r="8" spans="1:13" x14ac:dyDescent="0.25">
      <c r="A8">
        <v>6</v>
      </c>
      <c r="B8" t="s">
        <v>110</v>
      </c>
      <c r="C8" s="2" t="s">
        <v>534</v>
      </c>
      <c r="D8" s="2" t="s">
        <v>101</v>
      </c>
      <c r="E8" s="2">
        <v>0</v>
      </c>
      <c r="F8" s="2">
        <v>0.2</v>
      </c>
      <c r="H8" s="2">
        <v>100</v>
      </c>
      <c r="I8" s="2">
        <v>100</v>
      </c>
      <c r="J8">
        <v>20</v>
      </c>
      <c r="K8" s="2" t="s">
        <v>70</v>
      </c>
      <c r="L8">
        <f t="shared" si="0"/>
        <v>4</v>
      </c>
      <c r="M8">
        <f t="shared" si="2"/>
        <v>20100</v>
      </c>
    </row>
    <row r="9" spans="1:13" x14ac:dyDescent="0.25">
      <c r="A9">
        <v>7</v>
      </c>
      <c r="B9" t="s">
        <v>10</v>
      </c>
      <c r="C9" s="2" t="s">
        <v>541</v>
      </c>
      <c r="D9" s="2" t="s">
        <v>75</v>
      </c>
      <c r="E9" s="2">
        <v>0</v>
      </c>
      <c r="F9" s="2">
        <v>1</v>
      </c>
      <c r="H9" s="2">
        <v>100</v>
      </c>
      <c r="I9" s="2">
        <v>100</v>
      </c>
      <c r="J9">
        <v>20</v>
      </c>
      <c r="K9" s="2" t="s">
        <v>71</v>
      </c>
      <c r="L9">
        <f t="shared" si="0"/>
        <v>20</v>
      </c>
      <c r="M9">
        <f t="shared" si="2"/>
        <v>20100</v>
      </c>
    </row>
    <row r="10" spans="1:13" x14ac:dyDescent="0.25">
      <c r="A10">
        <v>8</v>
      </c>
      <c r="B10" t="s">
        <v>80</v>
      </c>
      <c r="C10" s="2" t="s">
        <v>535</v>
      </c>
      <c r="D10" s="2" t="s">
        <v>102</v>
      </c>
      <c r="E10" s="2">
        <v>0</v>
      </c>
      <c r="F10" s="2">
        <v>0.5</v>
      </c>
      <c r="H10" s="2">
        <v>200</v>
      </c>
      <c r="I10" s="2">
        <v>200</v>
      </c>
      <c r="J10">
        <v>20</v>
      </c>
      <c r="K10" s="2" t="s">
        <v>83</v>
      </c>
      <c r="L10">
        <f t="shared" si="0"/>
        <v>10</v>
      </c>
      <c r="M10">
        <f t="shared" si="2"/>
        <v>40200</v>
      </c>
    </row>
    <row r="11" spans="1:13" x14ac:dyDescent="0.25">
      <c r="A11">
        <v>9</v>
      </c>
      <c r="B11" t="s">
        <v>109</v>
      </c>
      <c r="C11" s="2" t="s">
        <v>536</v>
      </c>
      <c r="D11" s="2" t="s">
        <v>76</v>
      </c>
      <c r="E11" s="2">
        <v>0</v>
      </c>
      <c r="F11" s="2">
        <v>0.5</v>
      </c>
      <c r="H11" s="2">
        <v>200</v>
      </c>
      <c r="I11" s="2">
        <v>200</v>
      </c>
      <c r="J11">
        <v>10</v>
      </c>
      <c r="K11" s="2" t="s">
        <v>82</v>
      </c>
      <c r="L11">
        <f t="shared" si="0"/>
        <v>5</v>
      </c>
      <c r="M11">
        <f t="shared" si="2"/>
        <v>10200</v>
      </c>
    </row>
    <row r="12" spans="1:13" x14ac:dyDescent="0.25">
      <c r="A12">
        <v>10</v>
      </c>
      <c r="B12" t="s">
        <v>108</v>
      </c>
      <c r="C12" s="2" t="s">
        <v>537</v>
      </c>
      <c r="D12" s="2" t="s">
        <v>43</v>
      </c>
      <c r="E12" s="2">
        <v>0</v>
      </c>
      <c r="F12" s="2">
        <v>0.01</v>
      </c>
      <c r="G12" s="2" t="b">
        <v>1</v>
      </c>
      <c r="H12" s="2">
        <v>200</v>
      </c>
      <c r="I12" s="2">
        <v>200</v>
      </c>
      <c r="J12" s="2">
        <v>20</v>
      </c>
      <c r="K12" s="2" t="s">
        <v>72</v>
      </c>
      <c r="L12">
        <f t="shared" si="0"/>
        <v>0.2</v>
      </c>
      <c r="M12">
        <f t="shared" si="2"/>
        <v>40200</v>
      </c>
    </row>
    <row r="13" spans="1:13" x14ac:dyDescent="0.25">
      <c r="A13">
        <v>11</v>
      </c>
      <c r="B13" t="s">
        <v>107</v>
      </c>
      <c r="C13" s="2" t="s">
        <v>538</v>
      </c>
      <c r="D13" s="2" t="s">
        <v>103</v>
      </c>
      <c r="E13" s="2">
        <v>0</v>
      </c>
      <c r="F13" s="2">
        <v>50</v>
      </c>
      <c r="H13" s="2">
        <v>200</v>
      </c>
      <c r="I13" s="2">
        <v>200</v>
      </c>
      <c r="J13" s="2">
        <v>20</v>
      </c>
      <c r="K13" s="2" t="s">
        <v>74</v>
      </c>
      <c r="L13">
        <f t="shared" si="0"/>
        <v>1000</v>
      </c>
      <c r="M13">
        <f t="shared" si="2"/>
        <v>40200</v>
      </c>
    </row>
    <row r="14" spans="1:13" x14ac:dyDescent="0.25">
      <c r="A14">
        <v>12</v>
      </c>
      <c r="B14" t="s">
        <v>105</v>
      </c>
      <c r="C14" s="2" t="s">
        <v>539</v>
      </c>
      <c r="D14" s="2" t="s">
        <v>104</v>
      </c>
      <c r="E14" s="2">
        <v>0</v>
      </c>
      <c r="F14" s="2">
        <v>2</v>
      </c>
      <c r="H14" s="2">
        <v>200</v>
      </c>
      <c r="I14" s="2">
        <v>200</v>
      </c>
      <c r="J14" s="2">
        <v>20</v>
      </c>
      <c r="K14" s="2" t="s">
        <v>73</v>
      </c>
      <c r="L14">
        <f t="shared" si="0"/>
        <v>40</v>
      </c>
      <c r="M14">
        <f t="shared" si="2"/>
        <v>40200</v>
      </c>
    </row>
    <row r="15" spans="1:13" x14ac:dyDescent="0.25">
      <c r="A15">
        <v>13</v>
      </c>
      <c r="B15" t="s">
        <v>81</v>
      </c>
      <c r="C15" s="2" t="s">
        <v>540</v>
      </c>
      <c r="D15" s="2" t="s">
        <v>106</v>
      </c>
      <c r="E15" s="2">
        <v>0</v>
      </c>
      <c r="F15" s="2">
        <v>0.01</v>
      </c>
      <c r="G15" s="2" t="b">
        <v>1</v>
      </c>
      <c r="H15" s="2">
        <v>200</v>
      </c>
      <c r="I15" s="2">
        <v>200</v>
      </c>
      <c r="J15" s="2">
        <v>10</v>
      </c>
      <c r="K15" s="2" t="s">
        <v>508</v>
      </c>
      <c r="L15">
        <f t="shared" si="0"/>
        <v>0.1</v>
      </c>
      <c r="M15">
        <f t="shared" si="2"/>
        <v>10200</v>
      </c>
    </row>
    <row r="16" spans="1:13" s="5" customFormat="1" x14ac:dyDescent="0.25">
      <c r="B16" s="5" t="s">
        <v>47</v>
      </c>
      <c r="C16" s="6" t="str">
        <f t="shared" ref="C16:C21" si="3">"增加"&amp;B16&amp;"{0}"</f>
        <v>增加力量{0}</v>
      </c>
      <c r="D16" s="6" t="s">
        <v>62</v>
      </c>
      <c r="E16" s="6">
        <v>5</v>
      </c>
      <c r="F16" s="6">
        <v>5</v>
      </c>
      <c r="G16" s="6"/>
      <c r="H16" s="6">
        <v>50</v>
      </c>
      <c r="I16" s="6">
        <v>50</v>
      </c>
      <c r="K16" s="6" t="s">
        <v>55</v>
      </c>
    </row>
    <row r="17" spans="1:13" s="5" customFormat="1" x14ac:dyDescent="0.25">
      <c r="B17" s="5" t="s">
        <v>49</v>
      </c>
      <c r="C17" s="6" t="str">
        <f t="shared" si="3"/>
        <v>增加生命{0}</v>
      </c>
      <c r="D17" s="6" t="s">
        <v>63</v>
      </c>
      <c r="E17" s="6">
        <v>5</v>
      </c>
      <c r="F17" s="6">
        <v>5</v>
      </c>
      <c r="G17" s="6"/>
      <c r="H17" s="6">
        <v>50</v>
      </c>
      <c r="I17" s="6">
        <v>50</v>
      </c>
      <c r="K17" s="6" t="s">
        <v>56</v>
      </c>
    </row>
    <row r="18" spans="1:13" s="5" customFormat="1" x14ac:dyDescent="0.25">
      <c r="B18" s="5" t="s">
        <v>53</v>
      </c>
      <c r="C18" s="6" t="str">
        <f t="shared" si="3"/>
        <v>增加護盾{0}</v>
      </c>
      <c r="D18" s="6" t="s">
        <v>64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57</v>
      </c>
    </row>
    <row r="19" spans="1:13" s="5" customFormat="1" x14ac:dyDescent="0.25">
      <c r="B19" s="5" t="s">
        <v>51</v>
      </c>
      <c r="C19" s="6" t="str">
        <f t="shared" si="3"/>
        <v>增加護盾回復{0}</v>
      </c>
      <c r="D19" s="6" t="s">
        <v>65</v>
      </c>
      <c r="E19" s="6">
        <v>0.01</v>
      </c>
      <c r="F19" s="6">
        <v>0.01</v>
      </c>
      <c r="G19" s="6" t="b">
        <v>1</v>
      </c>
      <c r="H19" s="6">
        <v>50</v>
      </c>
      <c r="I19" s="6">
        <v>50</v>
      </c>
      <c r="K19" s="6" t="s">
        <v>58</v>
      </c>
    </row>
    <row r="20" spans="1:13" s="5" customFormat="1" x14ac:dyDescent="0.25">
      <c r="B20" s="5" t="s">
        <v>44</v>
      </c>
      <c r="C20" s="6" t="str">
        <f t="shared" si="3"/>
        <v>增加吸血{0}</v>
      </c>
      <c r="D20" s="6" t="s">
        <v>66</v>
      </c>
      <c r="E20" s="6">
        <v>0.01</v>
      </c>
      <c r="F20" s="6">
        <v>0.01</v>
      </c>
      <c r="G20" s="6" t="b">
        <v>1</v>
      </c>
      <c r="H20" s="6">
        <v>50</v>
      </c>
      <c r="I20" s="6">
        <v>50</v>
      </c>
      <c r="K20" s="6" t="s">
        <v>59</v>
      </c>
    </row>
    <row r="21" spans="1:13" s="5" customFormat="1" x14ac:dyDescent="0.25">
      <c r="B21" s="5" t="s">
        <v>45</v>
      </c>
      <c r="C21" s="6" t="str">
        <f t="shared" si="3"/>
        <v>增加藥水效果{0}</v>
      </c>
      <c r="D21" s="6" t="s">
        <v>67</v>
      </c>
      <c r="E21" s="6">
        <v>5</v>
      </c>
      <c r="F21" s="6">
        <v>5</v>
      </c>
      <c r="G21" s="6"/>
      <c r="H21" s="6">
        <v>50</v>
      </c>
      <c r="I21" s="6">
        <v>50</v>
      </c>
      <c r="K21" s="6" t="s">
        <v>60</v>
      </c>
    </row>
    <row r="22" spans="1:13" x14ac:dyDescent="0.25">
      <c r="A22" t="s">
        <v>4</v>
      </c>
      <c r="M22">
        <f>SUM(M6:M21)</f>
        <v>261600</v>
      </c>
    </row>
  </sheetData>
  <phoneticPr fontId="1" type="noConversion"/>
  <dataValidations disablePrompts="1" count="1">
    <dataValidation type="list" allowBlank="1" showInputMessage="1" showErrorMessage="1" sqref="G31:G1048576 G3:G23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Ref!$A$2:$A$18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1" sqref="C11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512</v>
      </c>
      <c r="I1" s="8" t="s">
        <v>93</v>
      </c>
      <c r="J1" s="8" t="s">
        <v>100</v>
      </c>
      <c r="K1" s="8" t="s">
        <v>24</v>
      </c>
      <c r="L1" s="7" t="s">
        <v>490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513</v>
      </c>
      <c r="I2" s="8" t="s">
        <v>92</v>
      </c>
      <c r="J2" s="8" t="s">
        <v>99</v>
      </c>
      <c r="K2" s="8" t="s">
        <v>15</v>
      </c>
      <c r="L2" s="7" t="s">
        <v>489</v>
      </c>
      <c r="M2" s="7" t="s">
        <v>113</v>
      </c>
      <c r="N2" s="7" t="s">
        <v>116</v>
      </c>
      <c r="O2" s="7" t="s">
        <v>510</v>
      </c>
      <c r="P2" s="7" t="s">
        <v>115</v>
      </c>
      <c r="Q2" s="7" t="s">
        <v>511</v>
      </c>
    </row>
    <row r="3" spans="1:18" x14ac:dyDescent="0.25">
      <c r="A3">
        <v>1</v>
      </c>
      <c r="B3" s="13" t="s">
        <v>288</v>
      </c>
      <c r="C3" s="2" t="s">
        <v>542</v>
      </c>
      <c r="D3" t="s">
        <v>427</v>
      </c>
      <c r="E3">
        <v>0.15</v>
      </c>
      <c r="G3" t="b">
        <v>1</v>
      </c>
      <c r="L3" s="11" t="s">
        <v>493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141</v>
      </c>
      <c r="C4" s="4" t="s">
        <v>543</v>
      </c>
      <c r="D4" t="s">
        <v>433</v>
      </c>
      <c r="E4">
        <v>3</v>
      </c>
      <c r="F4">
        <v>3</v>
      </c>
      <c r="H4">
        <v>10</v>
      </c>
      <c r="J4">
        <v>3</v>
      </c>
      <c r="K4" t="s">
        <v>345</v>
      </c>
      <c r="L4" s="11" t="s">
        <v>497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5" t="s">
        <v>125</v>
      </c>
      <c r="C5" t="s">
        <v>117</v>
      </c>
      <c r="D5" t="s">
        <v>290</v>
      </c>
      <c r="E5">
        <v>0.5</v>
      </c>
      <c r="G5" t="b">
        <v>1</v>
      </c>
      <c r="L5" s="11" t="s">
        <v>493</v>
      </c>
      <c r="M5">
        <f t="shared" si="0"/>
        <v>0.5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5" t="s">
        <v>126</v>
      </c>
      <c r="C6" t="s">
        <v>118</v>
      </c>
      <c r="D6" t="s">
        <v>301</v>
      </c>
      <c r="E6">
        <v>0.5</v>
      </c>
      <c r="G6" t="b">
        <v>1</v>
      </c>
      <c r="L6" s="11" t="s">
        <v>493</v>
      </c>
      <c r="M6">
        <f t="shared" si="0"/>
        <v>0.5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5" t="s">
        <v>127</v>
      </c>
      <c r="C7" t="s">
        <v>119</v>
      </c>
      <c r="D7" t="s">
        <v>291</v>
      </c>
      <c r="E7">
        <v>0.5</v>
      </c>
      <c r="G7" t="b">
        <v>1</v>
      </c>
      <c r="L7" s="11" t="s">
        <v>493</v>
      </c>
      <c r="M7">
        <f t="shared" si="0"/>
        <v>0.5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5" t="s">
        <v>122</v>
      </c>
      <c r="C8" t="s">
        <v>183</v>
      </c>
      <c r="D8" t="s">
        <v>302</v>
      </c>
      <c r="E8">
        <v>0.1</v>
      </c>
      <c r="G8" t="b">
        <v>1</v>
      </c>
      <c r="L8" s="11" t="s">
        <v>493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128</v>
      </c>
      <c r="C9" t="s">
        <v>303</v>
      </c>
      <c r="D9" t="s">
        <v>431</v>
      </c>
      <c r="E9">
        <v>0.15</v>
      </c>
      <c r="F9">
        <v>0.15</v>
      </c>
      <c r="G9" t="b">
        <v>1</v>
      </c>
      <c r="H9">
        <v>10</v>
      </c>
      <c r="J9">
        <v>3</v>
      </c>
      <c r="K9" t="s">
        <v>346</v>
      </c>
      <c r="L9" s="11" t="s">
        <v>497</v>
      </c>
      <c r="M9">
        <f t="shared" si="0"/>
        <v>0.44999999999999996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5" t="s">
        <v>434</v>
      </c>
      <c r="C10" t="s">
        <v>436</v>
      </c>
      <c r="D10" t="s">
        <v>432</v>
      </c>
      <c r="E10">
        <v>7.0000000000000007E-2</v>
      </c>
      <c r="G10" t="b">
        <v>1</v>
      </c>
      <c r="L10" s="11" t="s">
        <v>493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5" t="s">
        <v>187</v>
      </c>
      <c r="C11" t="s">
        <v>544</v>
      </c>
      <c r="D11" t="s">
        <v>505</v>
      </c>
      <c r="E11">
        <v>0.01</v>
      </c>
      <c r="G11" t="b">
        <v>1</v>
      </c>
      <c r="L11" s="11" t="s">
        <v>493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450</v>
      </c>
      <c r="C12" t="s">
        <v>449</v>
      </c>
      <c r="D12" t="s">
        <v>448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347</v>
      </c>
      <c r="L12" s="11" t="s">
        <v>497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451</v>
      </c>
      <c r="C13" t="s">
        <v>437</v>
      </c>
      <c r="D13" t="s">
        <v>447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348</v>
      </c>
      <c r="L13" s="11" t="s">
        <v>497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452</v>
      </c>
      <c r="C14" t="s">
        <v>438</v>
      </c>
      <c r="D14" t="s">
        <v>446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349</v>
      </c>
      <c r="L14" s="11" t="s">
        <v>497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5" t="s">
        <v>453</v>
      </c>
      <c r="C15" t="s">
        <v>509</v>
      </c>
      <c r="D15" t="s">
        <v>226</v>
      </c>
      <c r="E15">
        <v>1</v>
      </c>
      <c r="G15" t="b">
        <v>1</v>
      </c>
      <c r="L15" s="11" t="s">
        <v>493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5" t="s">
        <v>454</v>
      </c>
      <c r="C16" t="s">
        <v>292</v>
      </c>
      <c r="D16" t="s">
        <v>227</v>
      </c>
      <c r="E16">
        <v>0.3</v>
      </c>
      <c r="G16" t="b">
        <v>1</v>
      </c>
      <c r="L16" s="11" t="s">
        <v>495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455</v>
      </c>
      <c r="C17" t="s">
        <v>428</v>
      </c>
      <c r="D17" t="s">
        <v>327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350</v>
      </c>
      <c r="L17" s="11" t="s">
        <v>497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456</v>
      </c>
      <c r="C18" t="s">
        <v>548</v>
      </c>
      <c r="D18" t="s">
        <v>341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351</v>
      </c>
      <c r="L18" s="11" t="s">
        <v>497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5" t="s">
        <v>140</v>
      </c>
      <c r="C19" t="s">
        <v>293</v>
      </c>
      <c r="D19" t="s">
        <v>328</v>
      </c>
      <c r="E19">
        <v>0.3</v>
      </c>
      <c r="G19" t="b">
        <v>1</v>
      </c>
      <c r="L19" s="11" t="s">
        <v>495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5" t="s">
        <v>342</v>
      </c>
      <c r="C20" t="s">
        <v>344</v>
      </c>
      <c r="D20" t="s">
        <v>343</v>
      </c>
      <c r="E20">
        <v>0.3</v>
      </c>
      <c r="G20" t="b">
        <v>1</v>
      </c>
      <c r="L20" s="11" t="s">
        <v>495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5" t="s">
        <v>130</v>
      </c>
      <c r="C21" t="s">
        <v>294</v>
      </c>
      <c r="D21" t="s">
        <v>439</v>
      </c>
      <c r="E21">
        <v>0.5</v>
      </c>
      <c r="F21">
        <v>0.5</v>
      </c>
      <c r="G21" t="b">
        <v>1</v>
      </c>
      <c r="L21" s="11" t="s">
        <v>493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329</v>
      </c>
      <c r="C22" t="s">
        <v>457</v>
      </c>
      <c r="D22" t="s">
        <v>520</v>
      </c>
      <c r="E22">
        <v>0.25</v>
      </c>
      <c r="F22">
        <v>0.25</v>
      </c>
      <c r="G22" t="b">
        <v>1</v>
      </c>
      <c r="H22">
        <v>10</v>
      </c>
      <c r="J22">
        <v>3</v>
      </c>
      <c r="K22" t="s">
        <v>352</v>
      </c>
      <c r="L22" s="11" t="s">
        <v>497</v>
      </c>
      <c r="M22">
        <f t="shared" si="0"/>
        <v>0.75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5" t="s">
        <v>237</v>
      </c>
      <c r="C23" t="s">
        <v>331</v>
      </c>
      <c r="D23" t="s">
        <v>330</v>
      </c>
      <c r="E23">
        <v>100</v>
      </c>
      <c r="L23" s="11" t="s">
        <v>495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239</v>
      </c>
      <c r="C24" t="s">
        <v>545</v>
      </c>
      <c r="D24" t="s">
        <v>332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353</v>
      </c>
      <c r="L24" s="11" t="s">
        <v>497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5" t="s">
        <v>144</v>
      </c>
      <c r="C25" t="s">
        <v>295</v>
      </c>
      <c r="D25" t="s">
        <v>333</v>
      </c>
      <c r="E25">
        <v>0.5</v>
      </c>
      <c r="G25" t="b">
        <v>1</v>
      </c>
      <c r="L25" s="11" t="s">
        <v>495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211</v>
      </c>
      <c r="C26" t="s">
        <v>547</v>
      </c>
      <c r="D26" t="s">
        <v>334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354</v>
      </c>
      <c r="L26" s="11" t="s">
        <v>497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5" t="s">
        <v>335</v>
      </c>
      <c r="C27" t="s">
        <v>296</v>
      </c>
      <c r="D27" t="s">
        <v>336</v>
      </c>
      <c r="E27">
        <v>1</v>
      </c>
      <c r="L27" s="11" t="s">
        <v>495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5" t="s">
        <v>215</v>
      </c>
      <c r="C28" t="s">
        <v>516</v>
      </c>
      <c r="D28" t="s">
        <v>517</v>
      </c>
      <c r="E28">
        <v>1</v>
      </c>
      <c r="G28" t="b">
        <v>1</v>
      </c>
      <c r="L28" s="11" t="s">
        <v>495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5" t="s">
        <v>133</v>
      </c>
      <c r="C29" t="s">
        <v>337</v>
      </c>
      <c r="D29" t="s">
        <v>338</v>
      </c>
      <c r="E29">
        <v>0.5</v>
      </c>
      <c r="G29" t="b">
        <v>1</v>
      </c>
      <c r="L29" s="11" t="s">
        <v>495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123</v>
      </c>
      <c r="C30" t="s">
        <v>546</v>
      </c>
      <c r="D30" t="s">
        <v>444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355</v>
      </c>
      <c r="L30" s="11" t="s">
        <v>497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145</v>
      </c>
      <c r="C31" t="s">
        <v>339</v>
      </c>
      <c r="D31" t="s">
        <v>340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356</v>
      </c>
      <c r="L31" s="11" t="s">
        <v>497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134</v>
      </c>
      <c r="C32" t="s">
        <v>551</v>
      </c>
      <c r="D32" t="s">
        <v>519</v>
      </c>
      <c r="E32">
        <v>0.5</v>
      </c>
      <c r="F32">
        <v>0.5</v>
      </c>
      <c r="G32" t="b">
        <v>1</v>
      </c>
      <c r="H32">
        <v>10</v>
      </c>
      <c r="J32">
        <v>3</v>
      </c>
      <c r="K32" t="s">
        <v>357</v>
      </c>
      <c r="L32" s="11" t="s">
        <v>497</v>
      </c>
      <c r="M32">
        <f t="shared" si="0"/>
        <v>1.5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378</v>
      </c>
      <c r="C33" t="s">
        <v>550</v>
      </c>
      <c r="D33" t="s">
        <v>379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358</v>
      </c>
      <c r="L33" s="11" t="s">
        <v>497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135</v>
      </c>
      <c r="C34" t="s">
        <v>549</v>
      </c>
      <c r="D34" t="s">
        <v>380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359</v>
      </c>
      <c r="L34" s="11" t="s">
        <v>497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381</v>
      </c>
      <c r="C35" t="s">
        <v>382</v>
      </c>
      <c r="D35" t="s">
        <v>383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360</v>
      </c>
      <c r="L35" s="11" t="s">
        <v>497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384</v>
      </c>
      <c r="C36" t="s">
        <v>385</v>
      </c>
      <c r="D36" t="s">
        <v>518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361</v>
      </c>
      <c r="L36" s="11" t="s">
        <v>497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386</v>
      </c>
      <c r="C37" t="s">
        <v>387</v>
      </c>
      <c r="D37" t="s">
        <v>388</v>
      </c>
      <c r="E37">
        <v>2</v>
      </c>
      <c r="F37">
        <v>2</v>
      </c>
      <c r="H37">
        <v>10</v>
      </c>
      <c r="J37">
        <v>3</v>
      </c>
      <c r="K37" t="s">
        <v>362</v>
      </c>
      <c r="L37" s="11" t="s">
        <v>497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147</v>
      </c>
      <c r="C38" t="s">
        <v>389</v>
      </c>
      <c r="D38" t="s">
        <v>390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363</v>
      </c>
      <c r="L38" s="11" t="s">
        <v>497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5" t="s">
        <v>391</v>
      </c>
      <c r="C39" t="s">
        <v>552</v>
      </c>
      <c r="D39" t="s">
        <v>392</v>
      </c>
      <c r="E39">
        <v>0.3</v>
      </c>
      <c r="G39" t="b">
        <v>1</v>
      </c>
      <c r="L39" s="11" t="s">
        <v>493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5" t="s">
        <v>393</v>
      </c>
      <c r="C40" t="s">
        <v>394</v>
      </c>
      <c r="D40" t="s">
        <v>395</v>
      </c>
      <c r="E40">
        <v>0.03</v>
      </c>
      <c r="G40" t="b">
        <v>1</v>
      </c>
      <c r="L40" s="11" t="s">
        <v>493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5" t="s">
        <v>151</v>
      </c>
      <c r="C41" t="s">
        <v>396</v>
      </c>
      <c r="D41" t="s">
        <v>397</v>
      </c>
      <c r="E41">
        <v>0.05</v>
      </c>
      <c r="G41" t="b">
        <v>1</v>
      </c>
      <c r="L41" s="11" t="s">
        <v>495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5" t="s">
        <v>153</v>
      </c>
      <c r="C42" t="s">
        <v>553</v>
      </c>
      <c r="D42" t="s">
        <v>398</v>
      </c>
      <c r="E42">
        <v>0.05</v>
      </c>
      <c r="G42" t="b">
        <v>1</v>
      </c>
      <c r="L42" s="11" t="s">
        <v>495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5" t="s">
        <v>132</v>
      </c>
      <c r="C43" t="s">
        <v>399</v>
      </c>
      <c r="D43" t="s">
        <v>400</v>
      </c>
      <c r="E43">
        <v>0.5</v>
      </c>
      <c r="G43" t="b">
        <v>1</v>
      </c>
      <c r="L43" s="11" t="s">
        <v>495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156</v>
      </c>
      <c r="C44" t="s">
        <v>401</v>
      </c>
      <c r="D44" t="s">
        <v>402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364</v>
      </c>
      <c r="L44" s="11" t="s">
        <v>497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5" t="s">
        <v>158</v>
      </c>
      <c r="C45" t="s">
        <v>403</v>
      </c>
      <c r="D45" t="s">
        <v>404</v>
      </c>
      <c r="E45">
        <v>0.5</v>
      </c>
      <c r="G45" t="b">
        <v>1</v>
      </c>
      <c r="J45">
        <v>1</v>
      </c>
      <c r="L45" s="11" t="s">
        <v>495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160</v>
      </c>
      <c r="C46" t="s">
        <v>422</v>
      </c>
      <c r="D46" t="s">
        <v>405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365</v>
      </c>
      <c r="L46" s="11" t="s">
        <v>497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5" t="s">
        <v>162</v>
      </c>
      <c r="C47" t="s">
        <v>406</v>
      </c>
      <c r="D47" t="s">
        <v>407</v>
      </c>
      <c r="E47">
        <v>0.5</v>
      </c>
      <c r="G47" t="b">
        <v>1</v>
      </c>
      <c r="L47" s="11" t="s">
        <v>495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408</v>
      </c>
      <c r="C48" t="s">
        <v>409</v>
      </c>
      <c r="D48" t="s">
        <v>410</v>
      </c>
      <c r="E48">
        <v>100</v>
      </c>
      <c r="F48">
        <v>100</v>
      </c>
      <c r="H48">
        <v>10</v>
      </c>
      <c r="J48">
        <v>3</v>
      </c>
      <c r="K48" t="s">
        <v>366</v>
      </c>
      <c r="L48" s="11" t="s">
        <v>497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411</v>
      </c>
      <c r="C49" t="s">
        <v>412</v>
      </c>
      <c r="D49" t="s">
        <v>413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367</v>
      </c>
      <c r="L49" s="11" t="s">
        <v>497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5" t="s">
        <v>414</v>
      </c>
      <c r="C50" t="s">
        <v>415</v>
      </c>
      <c r="D50" t="s">
        <v>416</v>
      </c>
      <c r="E50">
        <v>1</v>
      </c>
      <c r="G50" t="b">
        <v>1</v>
      </c>
      <c r="L50" s="11" t="s">
        <v>495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167</v>
      </c>
      <c r="C51" t="s">
        <v>459</v>
      </c>
      <c r="D51" t="s">
        <v>458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368</v>
      </c>
      <c r="L51" s="11" t="s">
        <v>497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5" t="s">
        <v>169</v>
      </c>
      <c r="C52" t="s">
        <v>514</v>
      </c>
      <c r="D52" t="s">
        <v>515</v>
      </c>
      <c r="E52">
        <v>2</v>
      </c>
      <c r="J52">
        <v>1</v>
      </c>
      <c r="L52" s="11" t="s">
        <v>495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375</v>
      </c>
      <c r="C53" t="s">
        <v>554</v>
      </c>
      <c r="D53" t="s">
        <v>376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369</v>
      </c>
      <c r="L53" s="11" t="s">
        <v>497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5" t="s">
        <v>417</v>
      </c>
      <c r="C54" t="s">
        <v>555</v>
      </c>
      <c r="D54" t="s">
        <v>418</v>
      </c>
      <c r="E54">
        <v>1.5</v>
      </c>
      <c r="G54" t="b">
        <v>1</v>
      </c>
      <c r="L54" s="11" t="s">
        <v>493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419</v>
      </c>
      <c r="C55" t="s">
        <v>420</v>
      </c>
      <c r="D55" t="s">
        <v>421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370</v>
      </c>
      <c r="L55" s="11" t="s">
        <v>497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176</v>
      </c>
      <c r="C56" t="s">
        <v>423</v>
      </c>
      <c r="D56" t="s">
        <v>377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371</v>
      </c>
      <c r="L56" s="11" t="s">
        <v>497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178</v>
      </c>
      <c r="C57" t="s">
        <v>299</v>
      </c>
      <c r="D57" t="s">
        <v>424</v>
      </c>
      <c r="E57">
        <v>5</v>
      </c>
      <c r="F57">
        <v>5</v>
      </c>
      <c r="H57">
        <v>10</v>
      </c>
      <c r="J57">
        <v>3</v>
      </c>
      <c r="K57" t="s">
        <v>372</v>
      </c>
      <c r="L57" s="11" t="s">
        <v>497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426</v>
      </c>
      <c r="C58" t="s">
        <v>556</v>
      </c>
      <c r="D58" t="s">
        <v>425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373</v>
      </c>
      <c r="L58" s="11" t="s">
        <v>497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284</v>
      </c>
      <c r="C59" t="s">
        <v>429</v>
      </c>
      <c r="D59" t="s">
        <v>430</v>
      </c>
      <c r="E59">
        <v>1.5</v>
      </c>
      <c r="F59">
        <v>1.5</v>
      </c>
      <c r="H59">
        <v>10</v>
      </c>
      <c r="J59">
        <v>3</v>
      </c>
      <c r="K59" t="s">
        <v>374</v>
      </c>
      <c r="L59" s="11" t="s">
        <v>497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5" t="s">
        <v>120</v>
      </c>
      <c r="C60" t="s">
        <v>298</v>
      </c>
      <c r="D60" t="s">
        <v>440</v>
      </c>
      <c r="E60">
        <v>0.2</v>
      </c>
      <c r="G60" t="b">
        <v>1</v>
      </c>
      <c r="L60" s="11" t="s">
        <v>495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5" t="s">
        <v>324</v>
      </c>
      <c r="C61" t="s">
        <v>473</v>
      </c>
      <c r="D61" t="s">
        <v>467</v>
      </c>
      <c r="E61">
        <v>1</v>
      </c>
      <c r="G61" t="b">
        <v>1</v>
      </c>
      <c r="L61" s="11" t="s">
        <v>493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5" t="s">
        <v>325</v>
      </c>
      <c r="C62" t="s">
        <v>475</v>
      </c>
      <c r="D62" t="s">
        <v>468</v>
      </c>
      <c r="E62">
        <v>0.6</v>
      </c>
      <c r="G62" t="b">
        <v>1</v>
      </c>
      <c r="L62" s="11" t="s">
        <v>493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5" t="s">
        <v>461</v>
      </c>
      <c r="C63" t="s">
        <v>476</v>
      </c>
      <c r="D63" t="s">
        <v>474</v>
      </c>
      <c r="E63">
        <v>0.7</v>
      </c>
      <c r="G63" t="b">
        <v>1</v>
      </c>
      <c r="L63" s="11" t="s">
        <v>493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5" t="s">
        <v>462</v>
      </c>
      <c r="C64" t="s">
        <v>479</v>
      </c>
      <c r="D64" t="s">
        <v>507</v>
      </c>
      <c r="E64">
        <v>0.15</v>
      </c>
      <c r="G64" t="b">
        <v>1</v>
      </c>
      <c r="L64" s="11" t="s">
        <v>493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5" t="s">
        <v>481</v>
      </c>
      <c r="C65" t="s">
        <v>482</v>
      </c>
      <c r="D65" t="s">
        <v>506</v>
      </c>
      <c r="E65">
        <v>2</v>
      </c>
      <c r="G65" t="b">
        <v>1</v>
      </c>
      <c r="L65" s="11" t="s">
        <v>493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5" t="s">
        <v>460</v>
      </c>
      <c r="C66" t="s">
        <v>480</v>
      </c>
      <c r="D66" t="s">
        <v>502</v>
      </c>
      <c r="E66">
        <v>2</v>
      </c>
      <c r="G66" t="b">
        <v>1</v>
      </c>
      <c r="L66" s="11" t="s">
        <v>493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5" t="s">
        <v>465</v>
      </c>
      <c r="C67" t="s">
        <v>477</v>
      </c>
      <c r="D67" t="s">
        <v>503</v>
      </c>
      <c r="E67">
        <v>2</v>
      </c>
      <c r="G67" t="b">
        <v>1</v>
      </c>
      <c r="L67" s="11" t="s">
        <v>493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5" t="s">
        <v>464</v>
      </c>
      <c r="C68" t="s">
        <v>478</v>
      </c>
      <c r="D68" t="s">
        <v>504</v>
      </c>
      <c r="E68">
        <v>2</v>
      </c>
      <c r="G68" t="b">
        <v>1</v>
      </c>
      <c r="L68" s="11" t="s">
        <v>493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5" t="s">
        <v>483</v>
      </c>
      <c r="C69" t="s">
        <v>485</v>
      </c>
      <c r="D69" t="s">
        <v>469</v>
      </c>
      <c r="E69">
        <v>2</v>
      </c>
      <c r="G69" t="b">
        <v>1</v>
      </c>
      <c r="L69" s="11" t="s">
        <v>495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5" t="s">
        <v>484</v>
      </c>
      <c r="C70" t="s">
        <v>486</v>
      </c>
      <c r="D70" t="s">
        <v>470</v>
      </c>
      <c r="E70">
        <v>2</v>
      </c>
      <c r="G70" t="b">
        <v>1</v>
      </c>
      <c r="L70" s="11" t="s">
        <v>495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5" t="s">
        <v>466</v>
      </c>
      <c r="C71" t="s">
        <v>487</v>
      </c>
      <c r="D71" t="s">
        <v>471</v>
      </c>
      <c r="E71">
        <v>2</v>
      </c>
      <c r="G71" t="b">
        <v>1</v>
      </c>
      <c r="L71" s="11" t="s">
        <v>495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5" t="s">
        <v>463</v>
      </c>
      <c r="C72" t="s">
        <v>488</v>
      </c>
      <c r="D72" t="s">
        <v>472</v>
      </c>
      <c r="E72">
        <v>2</v>
      </c>
      <c r="G72" t="b">
        <v>1</v>
      </c>
      <c r="L72" s="11" t="s">
        <v>495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441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121</v>
      </c>
      <c r="C75" s="5" t="s">
        <v>97</v>
      </c>
      <c r="D75" s="5" t="s">
        <v>442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214</v>
      </c>
      <c r="C76" s="5" t="s">
        <v>297</v>
      </c>
      <c r="D76" s="5" t="s">
        <v>443</v>
      </c>
      <c r="E76" s="5">
        <v>2</v>
      </c>
      <c r="F76" s="5">
        <v>1</v>
      </c>
      <c r="I76" s="5">
        <v>10</v>
      </c>
      <c r="J76" s="5">
        <v>3</v>
      </c>
      <c r="K76" s="5" t="s">
        <v>244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B19" sqref="B19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491</v>
      </c>
      <c r="H1" s="1" t="s">
        <v>492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288</v>
      </c>
      <c r="E2" s="2" t="s">
        <v>96</v>
      </c>
      <c r="G2" t="s">
        <v>494</v>
      </c>
      <c r="H2" t="s">
        <v>501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496</v>
      </c>
      <c r="H3" t="s">
        <v>500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121</v>
      </c>
      <c r="E4" t="s">
        <v>97</v>
      </c>
      <c r="G4" t="s">
        <v>498</v>
      </c>
      <c r="H4" t="s">
        <v>499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141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290</v>
      </c>
      <c r="D6" t="s">
        <v>125</v>
      </c>
      <c r="E6" t="s">
        <v>117</v>
      </c>
    </row>
    <row r="7" spans="1:8" x14ac:dyDescent="0.25">
      <c r="A7" s="2" t="s">
        <v>38</v>
      </c>
      <c r="B7" s="2" t="s">
        <v>35</v>
      </c>
      <c r="C7" t="s">
        <v>289</v>
      </c>
      <c r="D7" t="s">
        <v>126</v>
      </c>
      <c r="E7" t="s">
        <v>118</v>
      </c>
    </row>
    <row r="8" spans="1:8" x14ac:dyDescent="0.25">
      <c r="A8" s="2" t="s">
        <v>39</v>
      </c>
      <c r="B8" s="2" t="s">
        <v>36</v>
      </c>
      <c r="C8" t="s">
        <v>291</v>
      </c>
      <c r="D8" t="s">
        <v>127</v>
      </c>
      <c r="E8" t="s">
        <v>119</v>
      </c>
    </row>
    <row r="9" spans="1:8" x14ac:dyDescent="0.25">
      <c r="A9" s="2" t="s">
        <v>12</v>
      </c>
      <c r="B9" s="2" t="s">
        <v>32</v>
      </c>
      <c r="C9" t="s">
        <v>220</v>
      </c>
      <c r="D9" t="s">
        <v>122</v>
      </c>
      <c r="E9" t="s">
        <v>184</v>
      </c>
    </row>
    <row r="10" spans="1:8" x14ac:dyDescent="0.25">
      <c r="A10" s="2" t="s">
        <v>78</v>
      </c>
      <c r="B10" s="2" t="s">
        <v>79</v>
      </c>
      <c r="C10" t="s">
        <v>221</v>
      </c>
      <c r="D10" t="s">
        <v>128</v>
      </c>
      <c r="E10" t="s">
        <v>185</v>
      </c>
    </row>
    <row r="11" spans="1:8" x14ac:dyDescent="0.25">
      <c r="A11" s="2" t="s">
        <v>77</v>
      </c>
      <c r="B11" s="2" t="s">
        <v>5</v>
      </c>
      <c r="C11" t="s">
        <v>300</v>
      </c>
      <c r="D11" t="s">
        <v>129</v>
      </c>
      <c r="E11" t="s">
        <v>186</v>
      </c>
    </row>
    <row r="12" spans="1:8" x14ac:dyDescent="0.25">
      <c r="A12" s="2" t="s">
        <v>13</v>
      </c>
      <c r="B12" s="2" t="s">
        <v>6</v>
      </c>
      <c r="C12" t="s">
        <v>222</v>
      </c>
      <c r="D12" t="s">
        <v>187</v>
      </c>
      <c r="E12" t="s">
        <v>188</v>
      </c>
    </row>
    <row r="13" spans="1:8" x14ac:dyDescent="0.25">
      <c r="A13" s="2" t="s">
        <v>14</v>
      </c>
      <c r="B13" s="2" t="s">
        <v>33</v>
      </c>
      <c r="C13" t="s">
        <v>223</v>
      </c>
      <c r="D13" t="s">
        <v>136</v>
      </c>
      <c r="E13" t="s">
        <v>189</v>
      </c>
    </row>
    <row r="14" spans="1:8" x14ac:dyDescent="0.25">
      <c r="A14" s="2" t="s">
        <v>40</v>
      </c>
      <c r="B14" s="2" t="s">
        <v>7</v>
      </c>
      <c r="C14" t="s">
        <v>224</v>
      </c>
      <c r="D14" t="s">
        <v>137</v>
      </c>
      <c r="E14" t="s">
        <v>190</v>
      </c>
    </row>
    <row r="15" spans="1:8" x14ac:dyDescent="0.25">
      <c r="A15" s="2" t="s">
        <v>59</v>
      </c>
      <c r="B15" s="2" t="s">
        <v>233</v>
      </c>
      <c r="C15" t="s">
        <v>225</v>
      </c>
      <c r="D15" t="s">
        <v>138</v>
      </c>
      <c r="E15" t="s">
        <v>191</v>
      </c>
    </row>
    <row r="16" spans="1:8" x14ac:dyDescent="0.25">
      <c r="A16" s="2" t="s">
        <v>60</v>
      </c>
      <c r="B16" s="2" t="s">
        <v>46</v>
      </c>
      <c r="C16" t="s">
        <v>226</v>
      </c>
      <c r="D16" t="s">
        <v>139</v>
      </c>
      <c r="E16" t="s">
        <v>192</v>
      </c>
    </row>
    <row r="17" spans="1:5" x14ac:dyDescent="0.25">
      <c r="A17" s="2" t="s">
        <v>37</v>
      </c>
      <c r="B17" s="2" t="s">
        <v>34</v>
      </c>
      <c r="C17" t="s">
        <v>227</v>
      </c>
      <c r="D17" t="s">
        <v>124</v>
      </c>
      <c r="E17" t="s">
        <v>193</v>
      </c>
    </row>
    <row r="18" spans="1:5" x14ac:dyDescent="0.25">
      <c r="A18" s="2" t="s">
        <v>528</v>
      </c>
      <c r="B18" s="2" t="s">
        <v>529</v>
      </c>
      <c r="C18" t="s">
        <v>228</v>
      </c>
      <c r="D18" t="s">
        <v>194</v>
      </c>
      <c r="E18" t="s">
        <v>195</v>
      </c>
    </row>
    <row r="19" spans="1:5" x14ac:dyDescent="0.25">
      <c r="C19" t="s">
        <v>230</v>
      </c>
      <c r="D19" t="s">
        <v>229</v>
      </c>
      <c r="E19" t="s">
        <v>196</v>
      </c>
    </row>
    <row r="20" spans="1:5" x14ac:dyDescent="0.25">
      <c r="C20" t="s">
        <v>231</v>
      </c>
      <c r="D20" t="s">
        <v>140</v>
      </c>
      <c r="E20" t="s">
        <v>197</v>
      </c>
    </row>
    <row r="21" spans="1:5" x14ac:dyDescent="0.25">
      <c r="C21" t="s">
        <v>234</v>
      </c>
      <c r="D21" t="s">
        <v>232</v>
      </c>
      <c r="E21" t="s">
        <v>198</v>
      </c>
    </row>
    <row r="22" spans="1:5" x14ac:dyDescent="0.25">
      <c r="C22" t="s">
        <v>236</v>
      </c>
      <c r="D22" t="s">
        <v>130</v>
      </c>
      <c r="E22" t="s">
        <v>142</v>
      </c>
    </row>
    <row r="23" spans="1:5" x14ac:dyDescent="0.25">
      <c r="C23" t="s">
        <v>235</v>
      </c>
      <c r="D23" t="s">
        <v>131</v>
      </c>
      <c r="E23" t="s">
        <v>210</v>
      </c>
    </row>
    <row r="24" spans="1:5" x14ac:dyDescent="0.25">
      <c r="C24" t="s">
        <v>238</v>
      </c>
      <c r="D24" t="s">
        <v>237</v>
      </c>
      <c r="E24" t="s">
        <v>143</v>
      </c>
    </row>
    <row r="25" spans="1:5" x14ac:dyDescent="0.25">
      <c r="C25" t="s">
        <v>240</v>
      </c>
      <c r="D25" t="s">
        <v>239</v>
      </c>
      <c r="E25" t="s">
        <v>199</v>
      </c>
    </row>
    <row r="26" spans="1:5" x14ac:dyDescent="0.25">
      <c r="C26" t="s">
        <v>241</v>
      </c>
      <c r="D26" t="s">
        <v>144</v>
      </c>
      <c r="E26" t="s">
        <v>217</v>
      </c>
    </row>
    <row r="27" spans="1:5" x14ac:dyDescent="0.25">
      <c r="C27" t="s">
        <v>242</v>
      </c>
      <c r="D27" t="s">
        <v>211</v>
      </c>
      <c r="E27" t="s">
        <v>200</v>
      </c>
    </row>
    <row r="28" spans="1:5" x14ac:dyDescent="0.25">
      <c r="C28" t="s">
        <v>243</v>
      </c>
      <c r="D28" t="s">
        <v>212</v>
      </c>
      <c r="E28" t="s">
        <v>213</v>
      </c>
    </row>
    <row r="29" spans="1:5" x14ac:dyDescent="0.25">
      <c r="C29" t="s">
        <v>244</v>
      </c>
      <c r="D29" t="s">
        <v>214</v>
      </c>
      <c r="E29" t="s">
        <v>201</v>
      </c>
    </row>
    <row r="30" spans="1:5" x14ac:dyDescent="0.25">
      <c r="C30" t="s">
        <v>245</v>
      </c>
      <c r="D30" t="s">
        <v>215</v>
      </c>
      <c r="E30" t="s">
        <v>216</v>
      </c>
    </row>
    <row r="31" spans="1:5" x14ac:dyDescent="0.25">
      <c r="C31" t="s">
        <v>246</v>
      </c>
      <c r="D31" t="s">
        <v>133</v>
      </c>
      <c r="E31" t="s">
        <v>202</v>
      </c>
    </row>
    <row r="32" spans="1:5" x14ac:dyDescent="0.25">
      <c r="C32" t="s">
        <v>247</v>
      </c>
      <c r="D32" t="s">
        <v>123</v>
      </c>
      <c r="E32" t="s">
        <v>203</v>
      </c>
    </row>
    <row r="33" spans="3:5" x14ac:dyDescent="0.25">
      <c r="C33" t="s">
        <v>248</v>
      </c>
      <c r="D33" t="s">
        <v>145</v>
      </c>
      <c r="E33" t="s">
        <v>204</v>
      </c>
    </row>
    <row r="34" spans="3:5" x14ac:dyDescent="0.25">
      <c r="C34" t="s">
        <v>249</v>
      </c>
      <c r="D34" t="s">
        <v>134</v>
      </c>
      <c r="E34" t="s">
        <v>218</v>
      </c>
    </row>
    <row r="35" spans="3:5" x14ac:dyDescent="0.25">
      <c r="C35" t="s">
        <v>251</v>
      </c>
      <c r="D35" t="s">
        <v>250</v>
      </c>
      <c r="E35" t="s">
        <v>146</v>
      </c>
    </row>
    <row r="36" spans="3:5" x14ac:dyDescent="0.25">
      <c r="C36" t="s">
        <v>252</v>
      </c>
      <c r="D36" t="s">
        <v>135</v>
      </c>
      <c r="E36" t="s">
        <v>205</v>
      </c>
    </row>
    <row r="37" spans="3:5" x14ac:dyDescent="0.25">
      <c r="C37" t="s">
        <v>253</v>
      </c>
      <c r="D37" t="s">
        <v>206</v>
      </c>
      <c r="E37" t="s">
        <v>207</v>
      </c>
    </row>
    <row r="38" spans="3:5" x14ac:dyDescent="0.25">
      <c r="C38" t="s">
        <v>254</v>
      </c>
      <c r="D38" t="s">
        <v>208</v>
      </c>
      <c r="E38" t="s">
        <v>209</v>
      </c>
    </row>
    <row r="39" spans="3:5" x14ac:dyDescent="0.25">
      <c r="C39" t="s">
        <v>256</v>
      </c>
      <c r="D39" t="s">
        <v>255</v>
      </c>
      <c r="E39" t="s">
        <v>219</v>
      </c>
    </row>
    <row r="40" spans="3:5" x14ac:dyDescent="0.25">
      <c r="C40" t="s">
        <v>257</v>
      </c>
      <c r="D40" t="s">
        <v>147</v>
      </c>
      <c r="E40" t="s">
        <v>148</v>
      </c>
    </row>
    <row r="41" spans="3:5" x14ac:dyDescent="0.25">
      <c r="C41" t="s">
        <v>259</v>
      </c>
      <c r="D41" t="s">
        <v>258</v>
      </c>
      <c r="E41" t="s">
        <v>149</v>
      </c>
    </row>
    <row r="42" spans="3:5" x14ac:dyDescent="0.25">
      <c r="C42" t="s">
        <v>261</v>
      </c>
      <c r="D42" t="s">
        <v>260</v>
      </c>
      <c r="E42" t="s">
        <v>150</v>
      </c>
    </row>
    <row r="43" spans="3:5" x14ac:dyDescent="0.25">
      <c r="C43" t="s">
        <v>262</v>
      </c>
      <c r="D43" t="s">
        <v>151</v>
      </c>
      <c r="E43" t="s">
        <v>152</v>
      </c>
    </row>
    <row r="44" spans="3:5" x14ac:dyDescent="0.25">
      <c r="C44" t="s">
        <v>263</v>
      </c>
      <c r="D44" t="s">
        <v>153</v>
      </c>
      <c r="E44" t="s">
        <v>154</v>
      </c>
    </row>
    <row r="45" spans="3:5" x14ac:dyDescent="0.25">
      <c r="C45" t="s">
        <v>264</v>
      </c>
      <c r="D45" t="s">
        <v>132</v>
      </c>
      <c r="E45" t="s">
        <v>155</v>
      </c>
    </row>
    <row r="46" spans="3:5" x14ac:dyDescent="0.25">
      <c r="C46" t="s">
        <v>267</v>
      </c>
      <c r="D46" t="s">
        <v>156</v>
      </c>
      <c r="E46" t="s">
        <v>157</v>
      </c>
    </row>
    <row r="47" spans="3:5" x14ac:dyDescent="0.25">
      <c r="C47" t="s">
        <v>265</v>
      </c>
      <c r="D47" t="s">
        <v>158</v>
      </c>
      <c r="E47" t="s">
        <v>159</v>
      </c>
    </row>
    <row r="48" spans="3:5" x14ac:dyDescent="0.25">
      <c r="C48" t="s">
        <v>268</v>
      </c>
      <c r="D48" t="s">
        <v>160</v>
      </c>
      <c r="E48" t="s">
        <v>161</v>
      </c>
    </row>
    <row r="49" spans="3:5" x14ac:dyDescent="0.25">
      <c r="C49" t="s">
        <v>266</v>
      </c>
      <c r="D49" t="s">
        <v>162</v>
      </c>
      <c r="E49" t="s">
        <v>163</v>
      </c>
    </row>
    <row r="50" spans="3:5" x14ac:dyDescent="0.25">
      <c r="C50" t="s">
        <v>270</v>
      </c>
      <c r="D50" t="s">
        <v>269</v>
      </c>
      <c r="E50" t="s">
        <v>164</v>
      </c>
    </row>
    <row r="51" spans="3:5" x14ac:dyDescent="0.25">
      <c r="C51" t="s">
        <v>272</v>
      </c>
      <c r="D51" t="s">
        <v>271</v>
      </c>
      <c r="E51" t="s">
        <v>165</v>
      </c>
    </row>
    <row r="52" spans="3:5" x14ac:dyDescent="0.25">
      <c r="C52" t="s">
        <v>274</v>
      </c>
      <c r="D52" t="s">
        <v>273</v>
      </c>
      <c r="E52" t="s">
        <v>166</v>
      </c>
    </row>
    <row r="53" spans="3:5" x14ac:dyDescent="0.25">
      <c r="C53" t="s">
        <v>275</v>
      </c>
      <c r="D53" t="s">
        <v>167</v>
      </c>
      <c r="E53" t="s">
        <v>168</v>
      </c>
    </row>
    <row r="54" spans="3:5" x14ac:dyDescent="0.25">
      <c r="C54" t="s">
        <v>276</v>
      </c>
      <c r="D54" t="s">
        <v>169</v>
      </c>
      <c r="E54" t="s">
        <v>170</v>
      </c>
    </row>
    <row r="55" spans="3:5" x14ac:dyDescent="0.25">
      <c r="C55" t="s">
        <v>278</v>
      </c>
      <c r="D55" t="s">
        <v>277</v>
      </c>
      <c r="E55" t="s">
        <v>171</v>
      </c>
    </row>
    <row r="56" spans="3:5" x14ac:dyDescent="0.25">
      <c r="C56" t="s">
        <v>279</v>
      </c>
      <c r="D56" t="s">
        <v>172</v>
      </c>
      <c r="E56" t="s">
        <v>173</v>
      </c>
    </row>
    <row r="57" spans="3:5" x14ac:dyDescent="0.25">
      <c r="C57" t="s">
        <v>280</v>
      </c>
      <c r="D57" t="s">
        <v>174</v>
      </c>
      <c r="E57" t="s">
        <v>175</v>
      </c>
    </row>
    <row r="58" spans="3:5" x14ac:dyDescent="0.25">
      <c r="C58" t="s">
        <v>281</v>
      </c>
      <c r="D58" t="s">
        <v>176</v>
      </c>
      <c r="E58" t="s">
        <v>177</v>
      </c>
    </row>
    <row r="59" spans="3:5" x14ac:dyDescent="0.25">
      <c r="C59" t="s">
        <v>282</v>
      </c>
      <c r="D59" t="s">
        <v>178</v>
      </c>
      <c r="E59" t="s">
        <v>179</v>
      </c>
    </row>
    <row r="60" spans="3:5" x14ac:dyDescent="0.25">
      <c r="C60" t="s">
        <v>287</v>
      </c>
      <c r="D60" t="s">
        <v>180</v>
      </c>
      <c r="E60" t="s">
        <v>283</v>
      </c>
    </row>
    <row r="61" spans="3:5" x14ac:dyDescent="0.25">
      <c r="C61" t="s">
        <v>285</v>
      </c>
      <c r="D61" t="s">
        <v>284</v>
      </c>
      <c r="E61" t="s">
        <v>181</v>
      </c>
    </row>
    <row r="62" spans="3:5" x14ac:dyDescent="0.25">
      <c r="C62" t="s">
        <v>286</v>
      </c>
      <c r="D62" t="s">
        <v>120</v>
      </c>
      <c r="E62" t="s">
        <v>182</v>
      </c>
    </row>
    <row r="63" spans="3:5" x14ac:dyDescent="0.25">
      <c r="D63" t="s">
        <v>445</v>
      </c>
      <c r="E63" t="s">
        <v>435</v>
      </c>
    </row>
    <row r="64" spans="3:5" x14ac:dyDescent="0.25">
      <c r="D64" t="s">
        <v>325</v>
      </c>
      <c r="E64" t="s">
        <v>326</v>
      </c>
    </row>
    <row r="65" spans="4:5" x14ac:dyDescent="0.25">
      <c r="D65" t="s">
        <v>310</v>
      </c>
      <c r="E65" t="s">
        <v>304</v>
      </c>
    </row>
    <row r="66" spans="4:5" x14ac:dyDescent="0.25">
      <c r="D66" t="s">
        <v>311</v>
      </c>
      <c r="E66" t="s">
        <v>305</v>
      </c>
    </row>
    <row r="67" spans="4:5" x14ac:dyDescent="0.25">
      <c r="D67" t="s">
        <v>312</v>
      </c>
      <c r="E67" t="s">
        <v>307</v>
      </c>
    </row>
    <row r="68" spans="4:5" x14ac:dyDescent="0.25">
      <c r="D68" t="s">
        <v>313</v>
      </c>
      <c r="E68" t="s">
        <v>306</v>
      </c>
    </row>
    <row r="69" spans="4:5" x14ac:dyDescent="0.25">
      <c r="D69" t="s">
        <v>314</v>
      </c>
      <c r="E69" t="s">
        <v>308</v>
      </c>
    </row>
    <row r="70" spans="4:5" x14ac:dyDescent="0.25">
      <c r="D70" t="s">
        <v>315</v>
      </c>
      <c r="E70" t="s">
        <v>309</v>
      </c>
    </row>
    <row r="71" spans="4:5" x14ac:dyDescent="0.25">
      <c r="D71" t="s">
        <v>320</v>
      </c>
      <c r="E71" t="s">
        <v>317</v>
      </c>
    </row>
    <row r="72" spans="4:5" x14ac:dyDescent="0.25">
      <c r="D72" t="s">
        <v>321</v>
      </c>
      <c r="E72" t="s">
        <v>316</v>
      </c>
    </row>
    <row r="73" spans="4:5" x14ac:dyDescent="0.25">
      <c r="D73" t="s">
        <v>322</v>
      </c>
      <c r="E73" t="s">
        <v>318</v>
      </c>
    </row>
    <row r="74" spans="4:5" x14ac:dyDescent="0.25">
      <c r="D74" t="s">
        <v>323</v>
      </c>
      <c r="E74" t="s">
        <v>319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2019-01-19T07:05:10Z</dcterms:modified>
</cp:coreProperties>
</file>