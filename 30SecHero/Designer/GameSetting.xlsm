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67" i="1"/>
  <c r="I91" i="1" l="1"/>
  <c r="I92" i="1"/>
  <c r="I93" i="1"/>
  <c r="I94" i="1"/>
  <c r="I95" i="1"/>
  <c r="I90" i="1"/>
  <c r="E46" i="1" l="1"/>
  <c r="E112" i="1" l="1"/>
  <c r="E111" i="1"/>
  <c r="E110" i="1" l="1"/>
  <c r="E109" i="1"/>
  <c r="E66" i="1" l="1"/>
  <c r="E45" i="1" l="1"/>
  <c r="E106" i="1" l="1"/>
  <c r="E105" i="1"/>
  <c r="E23" i="1" l="1"/>
  <c r="E98" i="1" l="1"/>
  <c r="E97" i="1"/>
  <c r="E96" i="1"/>
  <c r="E99" i="1" l="1"/>
  <c r="E108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<sst xmlns="http://schemas.openxmlformats.org/spreadsheetml/2006/main" count="246" uniqueCount="243">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</sst>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3"/>
  <sheetViews>
    <sheetView tabSelected="1" workbookViewId="0">
      <pane xSplit="2" ySplit="2" topLeftCell="C53" activePane="bottomRight" state="frozen"/>
      <selection pane="topRight" activeCell="C1" sqref="C1"/>
      <selection pane="bottomLeft" activeCell="A3" sqref="A3"/>
      <selection pane="bottomRight" activeCell="E62" sqref="E62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219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241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242</v>
      </c>
      <c r="B20" t="s">
        <v>184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185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186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180</v>
      </c>
      <c r="B23" t="s">
        <v>183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179</v>
      </c>
      <c r="B24" t="s">
        <v>181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178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190</v>
      </c>
      <c r="B28" t="s">
        <v>188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191</v>
      </c>
      <c r="B29" t="s">
        <v>189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198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197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231</v>
      </c>
      <c r="B32" t="s">
        <v>195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228</v>
      </c>
      <c r="B33" t="s">
        <v>230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232</v>
      </c>
      <c r="B34" t="s">
        <v>202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233</v>
      </c>
      <c r="B35" t="s">
        <v>229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210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208</v>
      </c>
      <c r="B45" t="s">
        <v>209</v>
      </c>
      <c r="C45" t="s">
        <v>224</v>
      </c>
      <c r="E45" t="str">
        <f t="shared" si="3"/>
        <v>public static float SoulPath;</v>
      </c>
    </row>
    <row r="46" spans="1:7" x14ac:dyDescent="0.25">
      <c r="A46" t="s">
        <v>227</v>
      </c>
      <c r="B46" t="s">
        <v>226</v>
      </c>
      <c r="C46" t="s">
        <v>225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176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220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221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182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177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192</v>
      </c>
      <c r="B58" s="4" t="s">
        <v>193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199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197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195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200</v>
      </c>
      <c r="B62" s="4" t="s">
        <v>196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201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187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212</v>
      </c>
      <c r="B66" s="4" t="s">
        <v>211</v>
      </c>
      <c r="C66">
        <v>2.5</v>
      </c>
      <c r="E66" t="str">
        <f t="shared" si="2"/>
        <v>public static float RushCD;</v>
      </c>
    </row>
    <row r="67" spans="1:7" x14ac:dyDescent="0.25">
      <c r="A67" t="s">
        <v>234</v>
      </c>
      <c r="B67" s="4" t="s">
        <v>235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237</v>
      </c>
      <c r="B68" s="4" t="s">
        <v>236</v>
      </c>
      <c r="C68">
        <v>2</v>
      </c>
      <c r="E68" t="str">
        <f t="shared" si="2"/>
        <v>public static float SkillAmmoSpeed;</v>
      </c>
    </row>
    <row r="69" spans="1:7" s="2" customFormat="1" x14ac:dyDescent="0.25">
      <c r="B69" s="6" t="s">
        <v>155</v>
      </c>
    </row>
    <row r="70" spans="1:7" x14ac:dyDescent="0.25">
      <c r="A70" t="s">
        <v>79</v>
      </c>
      <c r="B70" t="s">
        <v>78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81</v>
      </c>
      <c r="B71" t="s">
        <v>83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85</v>
      </c>
      <c r="B72" t="s">
        <v>84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82</v>
      </c>
      <c r="B73" t="s">
        <v>80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94</v>
      </c>
    </row>
    <row r="75" spans="1:7" x14ac:dyDescent="0.25">
      <c r="A75" t="s">
        <v>154</v>
      </c>
      <c r="B75" s="7" t="s">
        <v>123</v>
      </c>
      <c r="C75">
        <v>10</v>
      </c>
      <c r="E75" t="str">
        <f t="shared" ref="E75:E108" si="6">"public static int "&amp;A75&amp;";"</f>
        <v>public static int PotionInterval;</v>
      </c>
      <c r="G75">
        <v>10</v>
      </c>
    </row>
    <row r="76" spans="1:7" x14ac:dyDescent="0.25">
      <c r="A76" t="s">
        <v>125</v>
      </c>
      <c r="B76" s="7" t="s">
        <v>124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126</v>
      </c>
      <c r="B77" s="7" t="s">
        <v>76</v>
      </c>
      <c r="C77">
        <v>3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127</v>
      </c>
      <c r="B78" s="7" t="s">
        <v>77</v>
      </c>
      <c r="C78">
        <v>2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128</v>
      </c>
      <c r="B79" s="7" t="s">
        <v>119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130</v>
      </c>
      <c r="B80" s="7" t="s">
        <v>118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129</v>
      </c>
      <c r="B81" s="7" t="s">
        <v>120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131</v>
      </c>
      <c r="B82" s="7" t="s">
        <v>121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132</v>
      </c>
      <c r="B83" s="7" t="s">
        <v>122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133</v>
      </c>
      <c r="B84" s="7" t="s">
        <v>238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240</v>
      </c>
      <c r="B85" s="7" t="s">
        <v>239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135</v>
      </c>
      <c r="B86" s="7" t="s">
        <v>117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134</v>
      </c>
      <c r="B87" s="7" t="s">
        <v>167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136</v>
      </c>
      <c r="B88" s="7" t="s">
        <v>168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137</v>
      </c>
      <c r="B89" s="7" t="s">
        <v>166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139</v>
      </c>
      <c r="B90" s="8" t="s">
        <v>194</v>
      </c>
      <c r="C90" s="5">
        <v>80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145</v>
      </c>
      <c r="B91" s="8" t="s">
        <v>140</v>
      </c>
      <c r="C91" s="5">
        <v>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146</v>
      </c>
      <c r="B92" s="8" t="s">
        <v>141</v>
      </c>
      <c r="C92" s="5">
        <v>6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147</v>
      </c>
      <c r="B93" s="8" t="s">
        <v>142</v>
      </c>
      <c r="C93" s="5">
        <v>3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148</v>
      </c>
      <c r="B94" s="8" t="s">
        <v>143</v>
      </c>
      <c r="C94" s="5">
        <v>2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149</v>
      </c>
      <c r="B95" s="8" t="s">
        <v>144</v>
      </c>
      <c r="C95" s="5">
        <v>1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173</v>
      </c>
      <c r="B96" s="8" t="s">
        <v>170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174</v>
      </c>
      <c r="B97" s="8" t="s">
        <v>172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175</v>
      </c>
      <c r="B98" s="8" t="s">
        <v>171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164</v>
      </c>
      <c r="B99" s="8" t="s">
        <v>165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150</v>
      </c>
      <c r="B100" s="8" t="s">
        <v>138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151</v>
      </c>
      <c r="B101" s="8" t="s">
        <v>169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152</v>
      </c>
      <c r="B102" s="8" t="s">
        <v>153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207</v>
      </c>
      <c r="B103" s="8" t="s">
        <v>157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161</v>
      </c>
      <c r="B104" s="8" t="s">
        <v>158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203</v>
      </c>
      <c r="B105" s="8" t="s">
        <v>205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204</v>
      </c>
      <c r="B106" s="8" t="s">
        <v>206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162</v>
      </c>
      <c r="B107" s="8" t="s">
        <v>159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163</v>
      </c>
      <c r="B108" s="8" t="s">
        <v>160</v>
      </c>
      <c r="C108" s="5">
        <v>5</v>
      </c>
      <c r="E108" t="str">
        <f t="shared" si="6"/>
        <v>public static int BossDebutPlate;</v>
      </c>
      <c r="G108" s="5">
        <v>1</v>
      </c>
    </row>
    <row r="109" spans="1:7" x14ac:dyDescent="0.25">
      <c r="A109" t="s">
        <v>213</v>
      </c>
      <c r="B109" s="8" t="s">
        <v>214</v>
      </c>
      <c r="C109" s="5">
        <v>0.5</v>
      </c>
      <c r="E109" t="str">
        <f>"public static float "&amp;A109&amp;";"</f>
        <v>public static float EnemyHPGrow;</v>
      </c>
      <c r="G109" s="5"/>
    </row>
    <row r="110" spans="1:7" x14ac:dyDescent="0.25">
      <c r="A110" t="s">
        <v>215</v>
      </c>
      <c r="B110" s="8" t="s">
        <v>216</v>
      </c>
      <c r="C110" s="5">
        <v>0.5</v>
      </c>
      <c r="E110" t="str">
        <f>"public static float "&amp;A110&amp;";"</f>
        <v>public static float EnemyDMGGrow;</v>
      </c>
      <c r="G110" s="5"/>
    </row>
    <row r="111" spans="1:7" x14ac:dyDescent="0.25">
      <c r="A111" t="s">
        <v>217</v>
      </c>
      <c r="B111" s="8" t="s">
        <v>222</v>
      </c>
      <c r="C111" s="5">
        <v>0.5</v>
      </c>
      <c r="E111" t="str">
        <f>"public static float "&amp;A111&amp;";"</f>
        <v>public static float BossHPGrow;</v>
      </c>
      <c r="G111" s="5"/>
    </row>
    <row r="112" spans="1:7" x14ac:dyDescent="0.25">
      <c r="A112" t="s">
        <v>218</v>
      </c>
      <c r="B112" s="8" t="s">
        <v>223</v>
      </c>
      <c r="C112" s="5">
        <v>0.5</v>
      </c>
      <c r="E112" t="str">
        <f>"public static float "&amp;A112&amp;";"</f>
        <v>public static float BossDMGGrow;</v>
      </c>
      <c r="G112" s="5"/>
    </row>
    <row r="113" spans="1:1" x14ac:dyDescent="0.25">
      <c r="A113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2018-11-30T07:57:53Z</dcterms:modified>
</cp:coreProperties>
</file>