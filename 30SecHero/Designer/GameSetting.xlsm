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85" windowWidth="14805" windowHeight="693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5" i="1" l="1"/>
  <c r="E102" i="1" l="1"/>
  <c r="E101" i="1"/>
  <c r="E23" i="1" l="1"/>
  <c r="E94" i="1" l="1"/>
  <c r="E93" i="1"/>
  <c r="E92" i="1"/>
  <c r="E95" i="1" l="1"/>
  <c r="E104" i="1"/>
  <c r="E103" i="1"/>
  <c r="E100" i="1"/>
  <c r="E99" i="1"/>
  <c r="E72" i="1"/>
  <c r="E98" i="1"/>
  <c r="E96" i="1"/>
  <c r="E82" i="1"/>
  <c r="E74" i="1"/>
  <c r="E97" i="1"/>
  <c r="E91" i="1"/>
  <c r="E90" i="1"/>
  <c r="E89" i="1"/>
  <c r="E88" i="1"/>
  <c r="E87" i="1"/>
  <c r="E86" i="1"/>
  <c r="E85" i="1"/>
  <c r="E84" i="1"/>
  <c r="E83" i="1"/>
  <c r="E81" i="1"/>
  <c r="E80" i="1"/>
  <c r="E79" i="1"/>
  <c r="E78" i="1"/>
  <c r="E77" i="1"/>
  <c r="E76" i="1"/>
  <c r="E75" i="1"/>
  <c r="E73" i="1"/>
  <c r="E71" i="1"/>
  <c r="E55" i="1" l="1"/>
  <c r="E53" i="1"/>
  <c r="E50" i="1"/>
  <c r="E49" i="1"/>
  <c r="E48" i="1"/>
  <c r="E47" i="1"/>
  <c r="E64" i="1"/>
  <c r="E63" i="1"/>
  <c r="E62" i="1"/>
  <c r="E61" i="1"/>
  <c r="E60" i="1"/>
  <c r="E59" i="1"/>
  <c r="E58" i="1"/>
  <c r="E57" i="1"/>
  <c r="E56" i="1"/>
  <c r="E54" i="1"/>
  <c r="E52" i="1"/>
  <c r="E51" i="1"/>
  <c r="E43" i="1" l="1"/>
  <c r="E44" i="1"/>
  <c r="E68" i="1" l="1"/>
  <c r="E69" i="1"/>
  <c r="E67" i="1"/>
  <c r="E66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<sst xmlns="http://schemas.openxmlformats.org/spreadsheetml/2006/main" count="229" uniqueCount="226">
  <si>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</si>
  <si>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</si>
  <si>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</si>
  <si>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</si>
  <si>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</si>
  <si>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</si>
  <si>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</si>
  <si>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</si>
  <si>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</si>
  <si>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</si>
  <si>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</si>
  <si>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</si>
  <si>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</si>
  <si>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</si>
  <si>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</si>
  <si>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</si>
  <si>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</si>
  <si>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</si>
  <si>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</si>
  <si>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</si>
  <si>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</si>
  <si>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</si>
  <si>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</si>
  <si>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</si>
  <si>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</si>
  <si>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</si>
  <si>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</si>
  <si>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</si>
  <si>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</si>
  <si>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</si>
  <si>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</si>
  <si>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</si>
  <si>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</si>
  <si>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</si>
  <si>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</si>
  <si>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</si>
  <si>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</si>
  <si>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</si>
  <si>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</si>
  <si>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</si>
  <si>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</si>
  <si>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</si>
  <si>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</si>
  <si>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</si>
  <si>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</si>
  <si>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</si>
  <si>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</si>
  <si>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</si>
  <si>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</si>
  <si>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</si>
  <si>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</si>
  <si>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</si>
  <si>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</si>
  <si>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</si>
  <si>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</si>
  <si>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</si>
  <si>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</si>
  <si>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</si>
  <si>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</si>
  <si>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</si>
  <si>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</si>
  <si>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</si>
  <si>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</si>
  <si>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</si>
  <si>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</si>
  <si>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</si>
  <si>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</si>
  <si>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</si>
  <si>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</si>
  <si>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</si>
  <si>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</si>
  <si>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</si>
  <si>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</si>
  <si>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</si>
  <si>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</si>
  <si>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</si>
  <si>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</si>
  <si>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</si>
  <si>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</si>
  <si>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</si>
  <si>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</si>
  <si>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</si>
  <si>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</si>
  <si>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</si>
  <si>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</si>
  <si>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</si>
  <si>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</si>
  <si>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</si>
  <si>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</si>
  <si>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</si>
  <si>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</si>
  <si>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</si>
  <si>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</si>
  <si>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</si>
  <si>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</si>
  <si>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</si>
  <si>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</si>
  <si>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</si>
  <si>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</si>
  <si>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</si>
  <si>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</si>
  <si>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</si>
  <si>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</si>
  <si>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</si>
  <si>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</si>
  <si>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</si>
  <si>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</si>
  <si>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</si>
  <si>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</si>
  <si>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</si>
  <si>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</si>
  <si>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</si>
  <si>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</si>
  <si>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</si>
  <si>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</si>
  <si>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</si>
  <si>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</si>
  <si>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</si>
  <si>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</si>
  <si>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</si>
  <si>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</si>
  <si>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</si>
  <si>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</si>
  <si>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</si>
  <si>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</si>
  <si>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</si>
  <si>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</si>
  <si>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</si>
  <si>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</si>
  <si>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</si>
  <si>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</si>
  <si>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</si>
  <si>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</si>
  <si>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</si>
  <si>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</si>
  <si>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</si>
  <si>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</si>
  <si>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</si>
  <si>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</si>
  <si>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</si>
  <si>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</si>
  <si>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</si>
  <si>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</si>
  <si>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</si>
  <si>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</si>
  <si>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</si>
  <si>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</si>
  <si>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</si>
  <si>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</si>
  <si>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</si>
  <si>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</si>
  <si>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</si>
  <si>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</si>
  <si>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</si>
  <si>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</si>
  <si>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</si>
  <si>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</si>
  <si>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</si>
  <si>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</si>
  <si>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</si>
  <si>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</si>
  <si>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</si>
  <si>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</si>
  <si>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</si>
  <si>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</si>
  <si>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</si>
  <si>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</si>
  <si>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</si>
  <si>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</si>
  <si>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</si>
  <si>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</si>
  <si>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</si>
  <si>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</si>
  <si>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</si>
  <si>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</si>
  <si>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</si>
  <si>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</si>
  <si>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</si>
  <si>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</si>
  <si>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</si>
  <si>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</si>
  <si>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</si>
  <si>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</si>
  <si>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</si>
  <si>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</si>
  <si>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</si>
  <si>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</si>
  <si>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</si>
  <si>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</si>
  <si>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</si>
  <si>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</si>
  <si>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</si>
  <si>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</si>
  <si>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</si>
  <si>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</si>
  <si>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</si>
  <si>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</si>
  <si>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</si>
  <si>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</si>
  <si>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隨機藥效加成(0.2就是所有藥效時間+0.2秒，若是回血就是補血量+20%)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</si>
  <si>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</si>
  <si>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</si>
  <si>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</si>
  <si>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</si>
  <si>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</si>
  <si>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</si>
  <si>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</si>
  <si>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</si>
  <si>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RandomGoldDrop</t>
    <phoneticPr fontId="1" type="noConversion"/>
  </si>
  <si>
    <t>隨機金錢掉落加成(填0.1就是殺死怪物掉的金幣數+10%)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</si>
  <si>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</si>
  <si>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</si>
  <si>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</si>
  <si>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</si>
  <si>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</si>
  <si>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</si>
  <si>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</si>
  <si>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</si>
  <si>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</si>
  <si>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</si>
  <si>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</si>
  <si>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</si>
  <si>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</si>
  <si>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</si>
  <si>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</si>
  <si>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Images/Soul/{0}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</si>
</sst>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05"/>
  <sheetViews>
    <sheetView tabSelected="1"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F48" sqref="F48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66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194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58</v>
      </c>
      <c r="B21" t="s">
        <v>195</v>
      </c>
      <c r="C21">
        <v>5</v>
      </c>
      <c r="E21" t="str">
        <f t="shared" si="0"/>
        <v>public static float RandomHealth;</v>
      </c>
    </row>
    <row r="22" spans="1:5" x14ac:dyDescent="0.25">
      <c r="A22" t="s">
        <v>59</v>
      </c>
      <c r="B22" t="s">
        <v>196</v>
      </c>
      <c r="C22">
        <v>1</v>
      </c>
      <c r="E22" t="str">
        <f t="shared" si="0"/>
        <v>public static float RandomShield;</v>
      </c>
    </row>
    <row r="23" spans="1:5" x14ac:dyDescent="0.25">
      <c r="A23" t="s">
        <v>190</v>
      </c>
      <c r="B23" t="s">
        <v>193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189</v>
      </c>
      <c r="B24" t="s">
        <v>191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60</v>
      </c>
      <c r="B25" t="s">
        <v>56</v>
      </c>
      <c r="C25">
        <v>25</v>
      </c>
      <c r="E25" t="str">
        <f t="shared" si="0"/>
        <v>public static float RandomMoveSpeed;</v>
      </c>
    </row>
    <row r="26" spans="1:5" x14ac:dyDescent="0.25">
      <c r="A26" t="s">
        <v>61</v>
      </c>
      <c r="B26" t="s">
        <v>55</v>
      </c>
      <c r="C26">
        <v>50</v>
      </c>
      <c r="E26" t="str">
        <f t="shared" si="0"/>
        <v>public static float RandomMaxMoveSpeed;</v>
      </c>
    </row>
    <row r="27" spans="1:5" x14ac:dyDescent="0.25">
      <c r="A27" t="s">
        <v>188</v>
      </c>
      <c r="B27" t="s">
        <v>57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201</v>
      </c>
      <c r="B28" t="s">
        <v>198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202</v>
      </c>
      <c r="B29" t="s">
        <v>200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62</v>
      </c>
      <c r="B30" t="s">
        <v>212</v>
      </c>
      <c r="C30">
        <v>0.3</v>
      </c>
      <c r="E30" t="str">
        <f t="shared" si="0"/>
        <v>public static float RandomSkillTime;</v>
      </c>
    </row>
    <row r="31" spans="1:5" x14ac:dyDescent="0.25">
      <c r="A31" t="s">
        <v>63</v>
      </c>
      <c r="B31" t="s">
        <v>211</v>
      </c>
      <c r="C31">
        <v>0.03</v>
      </c>
      <c r="E31" t="str">
        <f t="shared" si="0"/>
        <v>public static float RandomSkillDrop;</v>
      </c>
    </row>
    <row r="32" spans="1:5" x14ac:dyDescent="0.25">
      <c r="A32" t="s">
        <v>207</v>
      </c>
      <c r="B32" t="s">
        <v>206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208</v>
      </c>
      <c r="B33" t="s">
        <v>209</v>
      </c>
      <c r="C33">
        <v>0.1</v>
      </c>
      <c r="E33" t="str">
        <f t="shared" si="0"/>
        <v>public static float RandomGoldDrop;</v>
      </c>
    </row>
    <row r="34" spans="1:7" x14ac:dyDescent="0.25">
      <c r="A34" t="s">
        <v>64</v>
      </c>
      <c r="B34" t="s">
        <v>216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65</v>
      </c>
      <c r="B35" t="s">
        <v>199</v>
      </c>
      <c r="C35">
        <v>0.2</v>
      </c>
      <c r="E35" t="str">
        <f t="shared" si="0"/>
        <v>public static float RandomPotionEfficiency;</v>
      </c>
    </row>
    <row r="36" spans="1:7" x14ac:dyDescent="0.25">
      <c r="B36" s="3" t="s">
        <v>100</v>
      </c>
    </row>
    <row r="37" spans="1:7" x14ac:dyDescent="0.25">
      <c r="A37" t="s">
        <v>98</v>
      </c>
      <c r="B37" t="s">
        <v>67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68</v>
      </c>
      <c r="B38" t="s">
        <v>69</v>
      </c>
      <c r="C38" t="s">
        <v>74</v>
      </c>
    </row>
    <row r="39" spans="1:7" x14ac:dyDescent="0.25">
      <c r="A39" t="s">
        <v>72</v>
      </c>
      <c r="B39" t="s">
        <v>70</v>
      </c>
      <c r="C39" t="s">
        <v>75</v>
      </c>
    </row>
    <row r="40" spans="1:7" x14ac:dyDescent="0.25">
      <c r="A40" t="s">
        <v>73</v>
      </c>
      <c r="B40" t="s">
        <v>71</v>
      </c>
      <c r="C40" t="s">
        <v>76</v>
      </c>
    </row>
    <row r="41" spans="1:7" x14ac:dyDescent="0.25">
      <c r="A41" t="s">
        <v>77</v>
      </c>
      <c r="B41" t="s">
        <v>78</v>
      </c>
      <c r="C41" t="s">
        <v>80</v>
      </c>
      <c r="E41" t="str">
        <f t="shared" ref="E41:E69" si="2">"public static float "&amp;A41&amp;";"</f>
        <v>public static float StrengthenPath;</v>
      </c>
    </row>
    <row r="42" spans="1:7" x14ac:dyDescent="0.25">
      <c r="A42" t="s">
        <v>79</v>
      </c>
      <c r="B42" t="s">
        <v>91</v>
      </c>
      <c r="C42" t="s">
        <v>92</v>
      </c>
      <c r="E42" t="str">
        <f t="shared" si="2"/>
        <v>public static float EquipPath;</v>
      </c>
    </row>
    <row r="43" spans="1:7" x14ac:dyDescent="0.25">
      <c r="A43" t="s">
        <v>95</v>
      </c>
      <c r="B43" t="s">
        <v>93</v>
      </c>
      <c r="C43" t="s">
        <v>96</v>
      </c>
      <c r="E43" t="str">
        <f t="shared" si="2"/>
        <v>public static float ArmorPath;</v>
      </c>
    </row>
    <row r="44" spans="1:7" x14ac:dyDescent="0.25">
      <c r="A44" t="s">
        <v>224</v>
      </c>
      <c r="B44" t="s">
        <v>94</v>
      </c>
      <c r="C44" t="s">
        <v>97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222</v>
      </c>
      <c r="B45" t="s">
        <v>223</v>
      </c>
      <c r="C45" t="s">
        <v>225</v>
      </c>
      <c r="E45" t="str">
        <f t="shared" si="3"/>
        <v>public static float SoulPath;</v>
      </c>
    </row>
    <row r="46" spans="1:7" s="2" customFormat="1" x14ac:dyDescent="0.25">
      <c r="B46" s="6" t="s">
        <v>166</v>
      </c>
    </row>
    <row r="47" spans="1:7" x14ac:dyDescent="0.25">
      <c r="A47" t="s">
        <v>186</v>
      </c>
      <c r="B47" s="4" t="s">
        <v>112</v>
      </c>
      <c r="C47">
        <v>30</v>
      </c>
      <c r="E47" t="str">
        <f>"public static int "&amp;A47&amp;";"</f>
        <v>public static int MaxHealth;</v>
      </c>
      <c r="G47">
        <v>30</v>
      </c>
    </row>
    <row r="48" spans="1:7" x14ac:dyDescent="0.25">
      <c r="A48" t="s">
        <v>113</v>
      </c>
      <c r="B48" s="4" t="s">
        <v>110</v>
      </c>
      <c r="C48">
        <v>10</v>
      </c>
      <c r="E48" t="str">
        <f>"public static int "&amp;A48&amp;";"</f>
        <v>public static int BaseDamage;</v>
      </c>
      <c r="G48">
        <v>10</v>
      </c>
    </row>
    <row r="49" spans="1:7" x14ac:dyDescent="0.25">
      <c r="A49" t="s">
        <v>114</v>
      </c>
      <c r="B49" s="4" t="s">
        <v>111</v>
      </c>
      <c r="C49">
        <v>1000</v>
      </c>
      <c r="E49" t="str">
        <f>"public static int "&amp;A49&amp;";"</f>
        <v>public static int BaseMoveSpeed;</v>
      </c>
      <c r="G49">
        <v>1000</v>
      </c>
    </row>
    <row r="50" spans="1:7" x14ac:dyDescent="0.25">
      <c r="A50" t="s">
        <v>115</v>
      </c>
      <c r="B50" s="4" t="s">
        <v>101</v>
      </c>
      <c r="C50">
        <v>10</v>
      </c>
      <c r="E50" t="str">
        <f>"public static int "&amp;A50&amp;";"</f>
        <v>public static int MaxShield;</v>
      </c>
      <c r="G50">
        <v>10</v>
      </c>
    </row>
    <row r="51" spans="1:7" x14ac:dyDescent="0.25">
      <c r="A51" t="s">
        <v>102</v>
      </c>
      <c r="B51" s="4" t="s">
        <v>103</v>
      </c>
      <c r="C51">
        <v>0.2</v>
      </c>
      <c r="E51" t="str">
        <f t="shared" si="2"/>
        <v>public static float ShieldGenerateProportion;</v>
      </c>
      <c r="G51">
        <v>0.2</v>
      </c>
    </row>
    <row r="52" spans="1:7" x14ac:dyDescent="0.25">
      <c r="A52" t="s">
        <v>116</v>
      </c>
      <c r="B52" s="4" t="s">
        <v>192</v>
      </c>
      <c r="C52">
        <v>5</v>
      </c>
      <c r="E52" t="str">
        <f t="shared" si="2"/>
        <v>public static float ShieldRechargeTime;</v>
      </c>
      <c r="G52">
        <v>5</v>
      </c>
    </row>
    <row r="53" spans="1:7" x14ac:dyDescent="0.25">
      <c r="A53" t="s">
        <v>107</v>
      </c>
      <c r="B53" s="4" t="s">
        <v>104</v>
      </c>
      <c r="C53">
        <v>100</v>
      </c>
      <c r="E53" t="str">
        <f>"public static int "&amp;A53&amp;";"</f>
        <v>public static int GainMoveFromKilling;</v>
      </c>
      <c r="G53">
        <v>150</v>
      </c>
    </row>
    <row r="54" spans="1:7" x14ac:dyDescent="0.25">
      <c r="A54" t="s">
        <v>187</v>
      </c>
      <c r="B54" s="4" t="s">
        <v>105</v>
      </c>
      <c r="C54">
        <v>5</v>
      </c>
      <c r="E54" t="str">
        <f t="shared" si="2"/>
        <v>public static float MoveDepletedTime;</v>
      </c>
      <c r="G54">
        <v>5</v>
      </c>
    </row>
    <row r="55" spans="1:7" x14ac:dyDescent="0.25">
      <c r="A55" t="s">
        <v>117</v>
      </c>
      <c r="B55" s="4" t="s">
        <v>106</v>
      </c>
      <c r="C55">
        <v>1000</v>
      </c>
      <c r="E55" t="str">
        <f>"public static int "&amp;A55&amp;";"</f>
        <v>public static int MaxExtraMove;</v>
      </c>
      <c r="G55">
        <v>500</v>
      </c>
    </row>
    <row r="56" spans="1:7" x14ac:dyDescent="0.25">
      <c r="A56" t="s">
        <v>118</v>
      </c>
      <c r="B56" s="4" t="s">
        <v>9</v>
      </c>
      <c r="C56">
        <v>30</v>
      </c>
      <c r="E56" t="str">
        <f t="shared" si="2"/>
        <v>public static float MaxAvaterTime;</v>
      </c>
      <c r="G56">
        <v>30</v>
      </c>
    </row>
    <row r="57" spans="1:7" x14ac:dyDescent="0.25">
      <c r="A57" t="s">
        <v>203</v>
      </c>
      <c r="B57" s="4" t="s">
        <v>204</v>
      </c>
      <c r="C57">
        <v>0</v>
      </c>
      <c r="E57" t="str">
        <f t="shared" si="2"/>
        <v>public static float AvatarPotionBuff;</v>
      </c>
      <c r="G57">
        <v>0</v>
      </c>
    </row>
    <row r="58" spans="1:7" x14ac:dyDescent="0.25">
      <c r="A58" t="s">
        <v>119</v>
      </c>
      <c r="B58" t="s">
        <v>213</v>
      </c>
      <c r="C58">
        <v>0</v>
      </c>
      <c r="E58" t="str">
        <f t="shared" si="2"/>
        <v>public static float SkillTimeBuff;</v>
      </c>
      <c r="G58">
        <v>0</v>
      </c>
    </row>
    <row r="59" spans="1:7" x14ac:dyDescent="0.25">
      <c r="A59" t="s">
        <v>120</v>
      </c>
      <c r="B59" t="s">
        <v>211</v>
      </c>
      <c r="C59">
        <v>0</v>
      </c>
      <c r="E59" t="str">
        <f t="shared" si="2"/>
        <v>public static float SkillDrop;</v>
      </c>
      <c r="G59">
        <v>0</v>
      </c>
    </row>
    <row r="60" spans="1:7" x14ac:dyDescent="0.25">
      <c r="A60" t="s">
        <v>121</v>
      </c>
      <c r="B60" s="4" t="s">
        <v>206</v>
      </c>
      <c r="C60">
        <v>0</v>
      </c>
      <c r="E60" t="str">
        <f t="shared" si="2"/>
        <v>public static float EquipDrop;</v>
      </c>
      <c r="G60">
        <v>0</v>
      </c>
    </row>
    <row r="61" spans="1:7" x14ac:dyDescent="0.25">
      <c r="A61" t="s">
        <v>214</v>
      </c>
      <c r="B61" s="4" t="s">
        <v>210</v>
      </c>
      <c r="C61">
        <v>0</v>
      </c>
      <c r="E61" t="str">
        <f t="shared" si="2"/>
        <v>public static float GoldDrop;</v>
      </c>
      <c r="G61">
        <v>0</v>
      </c>
    </row>
    <row r="62" spans="1:7" x14ac:dyDescent="0.25">
      <c r="A62" t="s">
        <v>122</v>
      </c>
      <c r="B62" s="4" t="s">
        <v>215</v>
      </c>
      <c r="C62">
        <v>0</v>
      </c>
      <c r="E62" t="str">
        <f t="shared" si="2"/>
        <v>public static float BloodThirsty;</v>
      </c>
      <c r="G62">
        <v>0</v>
      </c>
    </row>
    <row r="63" spans="1:7" x14ac:dyDescent="0.25">
      <c r="A63" t="s">
        <v>123</v>
      </c>
      <c r="B63" s="4" t="s">
        <v>197</v>
      </c>
      <c r="C63">
        <v>0</v>
      </c>
      <c r="E63" t="str">
        <f t="shared" si="2"/>
        <v>public static float PotionEfficiency;</v>
      </c>
      <c r="G63">
        <v>0</v>
      </c>
    </row>
    <row r="64" spans="1:7" x14ac:dyDescent="0.25">
      <c r="A64" t="s">
        <v>109</v>
      </c>
      <c r="B64" s="4" t="s">
        <v>108</v>
      </c>
      <c r="C64">
        <v>0</v>
      </c>
      <c r="E64" t="str">
        <f t="shared" si="2"/>
        <v>public static float PotionDrop;</v>
      </c>
      <c r="G64">
        <v>0</v>
      </c>
    </row>
    <row r="65" spans="1:7" s="2" customFormat="1" x14ac:dyDescent="0.25">
      <c r="B65" s="6" t="s">
        <v>165</v>
      </c>
    </row>
    <row r="66" spans="1:7" x14ac:dyDescent="0.25">
      <c r="A66" t="s">
        <v>84</v>
      </c>
      <c r="B66" t="s">
        <v>83</v>
      </c>
      <c r="C66">
        <v>0.3</v>
      </c>
      <c r="E66" t="str">
        <f t="shared" si="2"/>
        <v>public static float FreezeMove;</v>
      </c>
      <c r="G66">
        <v>0.5</v>
      </c>
    </row>
    <row r="67" spans="1:7" x14ac:dyDescent="0.25">
      <c r="A67" t="s">
        <v>86</v>
      </c>
      <c r="B67" t="s">
        <v>88</v>
      </c>
      <c r="C67">
        <v>0.01</v>
      </c>
      <c r="E67" t="str">
        <f t="shared" si="2"/>
        <v>public static float BurnDamage;</v>
      </c>
      <c r="G67">
        <v>0.01</v>
      </c>
    </row>
    <row r="68" spans="1:7" x14ac:dyDescent="0.25">
      <c r="A68" t="s">
        <v>90</v>
      </c>
      <c r="B68" t="s">
        <v>89</v>
      </c>
      <c r="C68">
        <v>0.5</v>
      </c>
      <c r="E68" t="str">
        <f t="shared" ref="E68" si="4">"public static float "&amp;A68&amp;";"</f>
        <v>public static float BurnInterval;</v>
      </c>
      <c r="G68">
        <v>0.5</v>
      </c>
    </row>
    <row r="69" spans="1:7" x14ac:dyDescent="0.25">
      <c r="A69" t="s">
        <v>87</v>
      </c>
      <c r="B69" t="s">
        <v>85</v>
      </c>
      <c r="C69">
        <v>0.5</v>
      </c>
      <c r="E69" t="str">
        <f t="shared" si="2"/>
        <v>public static float CurseDamageReduce;</v>
      </c>
      <c r="G69">
        <v>0.5</v>
      </c>
    </row>
    <row r="70" spans="1:7" s="2" customFormat="1" x14ac:dyDescent="0.25">
      <c r="B70" s="6" t="s">
        <v>99</v>
      </c>
    </row>
    <row r="71" spans="1:7" x14ac:dyDescent="0.25">
      <c r="A71" t="s">
        <v>164</v>
      </c>
      <c r="B71" s="7" t="s">
        <v>132</v>
      </c>
      <c r="C71">
        <v>10</v>
      </c>
      <c r="E71" t="str">
        <f t="shared" ref="E71:E104" si="5">"public static int "&amp;A71&amp;";"</f>
        <v>public static int PotionInterval;</v>
      </c>
      <c r="G71">
        <v>10</v>
      </c>
    </row>
    <row r="72" spans="1:7" x14ac:dyDescent="0.25">
      <c r="A72" t="s">
        <v>134</v>
      </c>
      <c r="B72" s="7" t="s">
        <v>133</v>
      </c>
      <c r="C72">
        <v>0.5</v>
      </c>
      <c r="E72" t="str">
        <f>"public static float "&amp;A72&amp;";"</f>
        <v>public static float PotionProportion;</v>
      </c>
      <c r="G72">
        <v>0.5</v>
      </c>
    </row>
    <row r="73" spans="1:7" x14ac:dyDescent="0.25">
      <c r="A73" t="s">
        <v>135</v>
      </c>
      <c r="B73" s="7" t="s">
        <v>81</v>
      </c>
      <c r="C73">
        <v>1.5</v>
      </c>
      <c r="E73" t="str">
        <f t="shared" si="5"/>
        <v>public static int EnemyFirstHalfInterval;</v>
      </c>
      <c r="G73">
        <v>1.5</v>
      </c>
    </row>
    <row r="74" spans="1:7" x14ac:dyDescent="0.25">
      <c r="A74" t="s">
        <v>136</v>
      </c>
      <c r="B74" s="7" t="s">
        <v>82</v>
      </c>
      <c r="C74">
        <v>1</v>
      </c>
      <c r="E74" t="str">
        <f>"public static float "&amp;A74&amp;";"</f>
        <v>public static float EnemySecondHalfInterval;</v>
      </c>
      <c r="G74">
        <v>1</v>
      </c>
    </row>
    <row r="75" spans="1:7" x14ac:dyDescent="0.25">
      <c r="A75" t="s">
        <v>137</v>
      </c>
      <c r="B75" s="7" t="s">
        <v>128</v>
      </c>
      <c r="C75">
        <v>3</v>
      </c>
      <c r="E75" t="str">
        <f t="shared" si="5"/>
        <v>public static int EnemyFirstHalfMinCount;</v>
      </c>
      <c r="G75">
        <v>3</v>
      </c>
    </row>
    <row r="76" spans="1:7" x14ac:dyDescent="0.25">
      <c r="A76" t="s">
        <v>139</v>
      </c>
      <c r="B76" s="7" t="s">
        <v>127</v>
      </c>
      <c r="C76">
        <v>5</v>
      </c>
      <c r="E76" t="str">
        <f t="shared" si="5"/>
        <v>public static int EnemyFirstHalfMaxCount;</v>
      </c>
      <c r="G76">
        <v>5</v>
      </c>
    </row>
    <row r="77" spans="1:7" x14ac:dyDescent="0.25">
      <c r="A77" t="s">
        <v>138</v>
      </c>
      <c r="B77" s="7" t="s">
        <v>129</v>
      </c>
      <c r="C77">
        <v>5</v>
      </c>
      <c r="E77" t="str">
        <f t="shared" si="5"/>
        <v>public static int EnemySecondHalfMinCount;</v>
      </c>
      <c r="G77">
        <v>5</v>
      </c>
    </row>
    <row r="78" spans="1:7" x14ac:dyDescent="0.25">
      <c r="A78" t="s">
        <v>140</v>
      </c>
      <c r="B78" s="7" t="s">
        <v>130</v>
      </c>
      <c r="C78">
        <v>6</v>
      </c>
      <c r="E78" t="str">
        <f t="shared" si="5"/>
        <v>public static int EnemySecondHalfMaxCount;</v>
      </c>
      <c r="G78">
        <v>6</v>
      </c>
    </row>
    <row r="79" spans="1:7" x14ac:dyDescent="0.25">
      <c r="A79" t="s">
        <v>141</v>
      </c>
      <c r="B79" s="7" t="s">
        <v>131</v>
      </c>
      <c r="C79">
        <v>0.2</v>
      </c>
      <c r="E79" t="str">
        <f t="shared" si="5"/>
        <v>public static int EnemySpawnInterval;</v>
      </c>
      <c r="G79">
        <v>0.2</v>
      </c>
    </row>
    <row r="80" spans="1:7" x14ac:dyDescent="0.25">
      <c r="A80" t="s">
        <v>142</v>
      </c>
      <c r="B80" s="7" t="s">
        <v>124</v>
      </c>
      <c r="C80">
        <v>10</v>
      </c>
      <c r="E80" t="str">
        <f t="shared" si="5"/>
        <v>public static int FloorPassGold;</v>
      </c>
      <c r="G80">
        <v>100</v>
      </c>
    </row>
    <row r="81" spans="1:7" x14ac:dyDescent="0.25">
      <c r="A81" t="s">
        <v>143</v>
      </c>
      <c r="B81" s="7" t="s">
        <v>125</v>
      </c>
      <c r="C81">
        <v>30</v>
      </c>
      <c r="E81" t="str">
        <f t="shared" si="5"/>
        <v>public static int NewFloorPassGold;</v>
      </c>
      <c r="G81">
        <v>300</v>
      </c>
    </row>
    <row r="82" spans="1:7" x14ac:dyDescent="0.25">
      <c r="A82" t="s">
        <v>145</v>
      </c>
      <c r="B82" s="7" t="s">
        <v>126</v>
      </c>
      <c r="C82">
        <v>0.2</v>
      </c>
      <c r="E82" t="str">
        <f>"public static float "&amp;A82&amp;";"</f>
        <v>public static float BossEmeraldProportion;</v>
      </c>
      <c r="G82">
        <v>0.2</v>
      </c>
    </row>
    <row r="83" spans="1:7" x14ac:dyDescent="0.25">
      <c r="A83" t="s">
        <v>144</v>
      </c>
      <c r="B83" s="7" t="s">
        <v>177</v>
      </c>
      <c r="C83">
        <v>2</v>
      </c>
      <c r="E83" t="str">
        <f t="shared" si="5"/>
        <v>public static int BossEmerald;</v>
      </c>
      <c r="G83">
        <v>2</v>
      </c>
    </row>
    <row r="84" spans="1:7" x14ac:dyDescent="0.25">
      <c r="A84" t="s">
        <v>146</v>
      </c>
      <c r="B84" s="7" t="s">
        <v>178</v>
      </c>
      <c r="C84">
        <v>10</v>
      </c>
      <c r="E84" t="str">
        <f t="shared" si="5"/>
        <v>public static int NewBossEmerald;</v>
      </c>
      <c r="G84">
        <v>10</v>
      </c>
    </row>
    <row r="85" spans="1:7" x14ac:dyDescent="0.25">
      <c r="A85" t="s">
        <v>147</v>
      </c>
      <c r="B85" s="7" t="s">
        <v>176</v>
      </c>
      <c r="C85">
        <v>5</v>
      </c>
      <c r="E85" t="str">
        <f t="shared" si="5"/>
        <v>public static int EnemyGold;</v>
      </c>
      <c r="G85">
        <v>5</v>
      </c>
    </row>
    <row r="86" spans="1:7" x14ac:dyDescent="0.25">
      <c r="A86" t="s">
        <v>149</v>
      </c>
      <c r="B86" s="8" t="s">
        <v>205</v>
      </c>
      <c r="C86" s="5">
        <v>80</v>
      </c>
      <c r="E86" t="str">
        <f t="shared" si="5"/>
        <v>public static int NoEquipWeight;</v>
      </c>
      <c r="G86" s="5">
        <v>80</v>
      </c>
    </row>
    <row r="87" spans="1:7" x14ac:dyDescent="0.25">
      <c r="A87" t="s">
        <v>155</v>
      </c>
      <c r="B87" s="8" t="s">
        <v>150</v>
      </c>
      <c r="C87" s="5">
        <v>8</v>
      </c>
      <c r="E87" t="str">
        <f t="shared" si="5"/>
        <v>public static int EquipQuality1Weight;</v>
      </c>
      <c r="G87" s="5">
        <v>8</v>
      </c>
    </row>
    <row r="88" spans="1:7" x14ac:dyDescent="0.25">
      <c r="A88" t="s">
        <v>156</v>
      </c>
      <c r="B88" s="8" t="s">
        <v>151</v>
      </c>
      <c r="C88" s="5">
        <v>6</v>
      </c>
      <c r="E88" t="str">
        <f t="shared" si="5"/>
        <v>public static int EquipQuality2Weight;</v>
      </c>
      <c r="G88" s="5">
        <v>6</v>
      </c>
    </row>
    <row r="89" spans="1:7" x14ac:dyDescent="0.25">
      <c r="A89" t="s">
        <v>157</v>
      </c>
      <c r="B89" s="8" t="s">
        <v>152</v>
      </c>
      <c r="C89" s="5">
        <v>3</v>
      </c>
      <c r="E89" t="str">
        <f t="shared" si="5"/>
        <v>public static int EquipQuality3Weight;</v>
      </c>
      <c r="G89" s="5">
        <v>3</v>
      </c>
    </row>
    <row r="90" spans="1:7" x14ac:dyDescent="0.25">
      <c r="A90" t="s">
        <v>158</v>
      </c>
      <c r="B90" s="8" t="s">
        <v>153</v>
      </c>
      <c r="C90" s="5">
        <v>2</v>
      </c>
      <c r="E90" t="str">
        <f t="shared" si="5"/>
        <v>public static int EquipQuality4Weight;</v>
      </c>
      <c r="G90" s="5">
        <v>2</v>
      </c>
    </row>
    <row r="91" spans="1:7" x14ac:dyDescent="0.25">
      <c r="A91" t="s">
        <v>159</v>
      </c>
      <c r="B91" s="8" t="s">
        <v>154</v>
      </c>
      <c r="C91" s="5">
        <v>1</v>
      </c>
      <c r="E91" t="str">
        <f t="shared" si="5"/>
        <v>public static int EquipQuality5Weight;</v>
      </c>
      <c r="G91" s="5">
        <v>1</v>
      </c>
    </row>
    <row r="92" spans="1:7" x14ac:dyDescent="0.25">
      <c r="A92" t="s">
        <v>183</v>
      </c>
      <c r="B92" s="8" t="s">
        <v>180</v>
      </c>
      <c r="C92" s="5">
        <v>1</v>
      </c>
      <c r="E92" t="str">
        <f t="shared" si="5"/>
        <v>public static int DropWeaponWeight;</v>
      </c>
      <c r="G92" s="5">
        <v>1</v>
      </c>
    </row>
    <row r="93" spans="1:7" x14ac:dyDescent="0.25">
      <c r="A93" t="s">
        <v>184</v>
      </c>
      <c r="B93" s="8" t="s">
        <v>182</v>
      </c>
      <c r="C93" s="5">
        <v>1</v>
      </c>
      <c r="E93" t="str">
        <f t="shared" si="5"/>
        <v>public static int DropArmorWeight;</v>
      </c>
      <c r="G93" s="5">
        <v>1</v>
      </c>
    </row>
    <row r="94" spans="1:7" x14ac:dyDescent="0.25">
      <c r="A94" t="s">
        <v>185</v>
      </c>
      <c r="B94" s="8" t="s">
        <v>181</v>
      </c>
      <c r="C94" s="5">
        <v>2</v>
      </c>
      <c r="E94" t="str">
        <f t="shared" si="5"/>
        <v>public static int DropAccessoryWeight;</v>
      </c>
      <c r="G94" s="5">
        <v>2</v>
      </c>
    </row>
    <row r="95" spans="1:7" x14ac:dyDescent="0.25">
      <c r="A95" t="s">
        <v>174</v>
      </c>
      <c r="B95" s="8" t="s">
        <v>175</v>
      </c>
      <c r="C95" s="5">
        <v>0.05</v>
      </c>
      <c r="E95" t="str">
        <f>"public static float "&amp;A95&amp;";"</f>
        <v>public static float EnemyDropPotionProportion;</v>
      </c>
      <c r="G95" s="5">
        <v>0.05</v>
      </c>
    </row>
    <row r="96" spans="1:7" x14ac:dyDescent="0.25">
      <c r="A96" t="s">
        <v>160</v>
      </c>
      <c r="B96" s="8" t="s">
        <v>148</v>
      </c>
      <c r="C96" s="5">
        <v>0.2</v>
      </c>
      <c r="E96" t="str">
        <f>"public static float "&amp;A96&amp;";"</f>
        <v>public static float EnemyDropGoldProportion;</v>
      </c>
      <c r="G96" s="5">
        <v>0.2</v>
      </c>
    </row>
    <row r="97" spans="1:7" x14ac:dyDescent="0.25">
      <c r="A97" t="s">
        <v>161</v>
      </c>
      <c r="B97" s="8" t="s">
        <v>179</v>
      </c>
      <c r="C97" s="5">
        <v>1</v>
      </c>
      <c r="E97" t="str">
        <f t="shared" si="5"/>
        <v>public static int EnemyDropGold;</v>
      </c>
      <c r="G97" s="5">
        <v>1</v>
      </c>
    </row>
    <row r="98" spans="1:7" x14ac:dyDescent="0.25">
      <c r="A98" t="s">
        <v>162</v>
      </c>
      <c r="B98" s="8" t="s">
        <v>163</v>
      </c>
      <c r="C98" s="5">
        <v>0.3</v>
      </c>
      <c r="E98" t="str">
        <f>"public static float "&amp;A98&amp;";"</f>
        <v>public static float EnemyDropGoldOffset;</v>
      </c>
      <c r="G98" s="5">
        <v>0.3</v>
      </c>
    </row>
    <row r="99" spans="1:7" x14ac:dyDescent="0.25">
      <c r="A99" t="s">
        <v>221</v>
      </c>
      <c r="B99" s="8" t="s">
        <v>167</v>
      </c>
      <c r="C99" s="5">
        <v>7</v>
      </c>
      <c r="E99" t="str">
        <f t="shared" si="5"/>
        <v>public static int MaxEnemy;</v>
      </c>
      <c r="G99" s="5">
        <v>7</v>
      </c>
    </row>
    <row r="100" spans="1:7" x14ac:dyDescent="0.25">
      <c r="A100" t="s">
        <v>171</v>
      </c>
      <c r="B100" s="8" t="s">
        <v>168</v>
      </c>
      <c r="C100" s="5">
        <v>1</v>
      </c>
      <c r="E100" t="str">
        <f t="shared" si="5"/>
        <v>public static int MaxLoot;</v>
      </c>
      <c r="G100" s="5">
        <v>1</v>
      </c>
    </row>
    <row r="101" spans="1:7" x14ac:dyDescent="0.25">
      <c r="A101" t="s">
        <v>217</v>
      </c>
      <c r="B101" s="8" t="s">
        <v>219</v>
      </c>
      <c r="C101" s="5">
        <v>2</v>
      </c>
      <c r="E101" t="str">
        <f t="shared" ref="E101:E102" si="6">"public static int "&amp;A101&amp;";"</f>
        <v>public static int MaxForeEnemy;</v>
      </c>
      <c r="G101" s="5">
        <v>3</v>
      </c>
    </row>
    <row r="102" spans="1:7" x14ac:dyDescent="0.25">
      <c r="A102" t="s">
        <v>218</v>
      </c>
      <c r="B102" s="8" t="s">
        <v>220</v>
      </c>
      <c r="C102" s="5">
        <v>2</v>
      </c>
      <c r="E102" t="str">
        <f t="shared" si="6"/>
        <v>public static int MaxBackEnemy;</v>
      </c>
      <c r="G102" s="5">
        <v>3</v>
      </c>
    </row>
    <row r="103" spans="1:7" x14ac:dyDescent="0.25">
      <c r="A103" t="s">
        <v>172</v>
      </c>
      <c r="B103" s="8" t="s">
        <v>169</v>
      </c>
      <c r="C103" s="5">
        <v>10</v>
      </c>
      <c r="E103" t="str">
        <f t="shared" si="5"/>
        <v>public static int FloorPlate;</v>
      </c>
      <c r="G103" s="5">
        <v>10</v>
      </c>
    </row>
    <row r="104" spans="1:7" x14ac:dyDescent="0.25">
      <c r="A104" t="s">
        <v>173</v>
      </c>
      <c r="B104" s="8" t="s">
        <v>170</v>
      </c>
      <c r="C104" s="5">
        <v>1</v>
      </c>
      <c r="E104" t="str">
        <f t="shared" si="5"/>
        <v>public static int BossDebutPlate;</v>
      </c>
      <c r="G104" s="5">
        <v>1</v>
      </c>
    </row>
    <row r="105" spans="1:7" x14ac:dyDescent="0.25">
      <c r="A105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2018-11-01T04:35:44Z</dcterms:modified>
</cp:coreProperties>
</file>