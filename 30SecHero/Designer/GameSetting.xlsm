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365" windowWidth="14805" windowHeight="6750"/>
  </bookViews>
  <sheets>
    <sheet name="GameSetting" sheetId="1" r:id="rId1"/>
    <sheet name="Ref" sheetId="5" r:id="rId2"/>
  </sheets>
  <functionGroups builtInGroupCount="17"/>
  <externalReferences>
    <externalReference r:id="rId3"/>
  </externalReferences>
  <definedNames>
    <definedName name="_xlnm._FilterDatabase" localSheetId="0" hidden="1">GameSetting!$A$1:$B$3</definedName>
    <definedName name="ArmorType">#REF!</definedName>
    <definedName name="CostType">#REF!</definedName>
    <definedName name="DefaultOwn">[1]Defined!$C$2:$C$3</definedName>
    <definedName name="Difficult">#REF!</definedName>
    <definedName name="MaxEventNum">#REF!</definedName>
    <definedName name="MaxMember">#REF!</definedName>
    <definedName name="MinEventNum">#REF!</definedName>
    <definedName name="MinMember">#REF!</definedName>
    <definedName name="ProjectRef">#REF!</definedName>
    <definedName name="Rare">#REF!</definedName>
    <definedName name="RewardType">#REF!</definedName>
    <definedName name="TargetType">Ref!$A$2:$A$10</definedName>
    <definedName name="TriggerType">Ref!$C$2:$C$4</definedName>
    <definedName name="WeaponType">#REF!</definedName>
  </definedNames>
  <calcPr calcId="144525"/>
</workbook>
</file>

<file path=xl/calcChain.xml><?xml version="1.0" encoding="utf-8"?>
<calcChain xmlns="http://schemas.openxmlformats.org/spreadsheetml/2006/main">
  <c r="I89" i="1" l="1"/>
  <c r="I90" i="1"/>
  <c r="I91" i="1"/>
  <c r="I92" i="1"/>
  <c r="I93" i="1"/>
  <c r="I88" i="1"/>
  <c r="E46" i="1" l="1"/>
  <c r="E110" i="1" l="1"/>
  <c r="E109" i="1"/>
  <c r="E108" i="1" l="1"/>
  <c r="E107" i="1"/>
  <c r="E66" i="1" l="1"/>
  <c r="E45" i="1" l="1"/>
  <c r="E104" i="1" l="1"/>
  <c r="E103" i="1"/>
  <c r="E23" i="1" l="1"/>
  <c r="E96" i="1" l="1"/>
  <c r="E95" i="1"/>
  <c r="E94" i="1"/>
  <c r="E97" i="1" l="1"/>
  <c r="E106" i="1"/>
  <c r="E105" i="1"/>
  <c r="E102" i="1"/>
  <c r="E101" i="1"/>
  <c r="E74" i="1"/>
  <c r="E100" i="1"/>
  <c r="E98" i="1"/>
  <c r="E84" i="1"/>
  <c r="E76" i="1"/>
  <c r="E99" i="1"/>
  <c r="E93" i="1"/>
  <c r="E92" i="1"/>
  <c r="E91" i="1"/>
  <c r="E90" i="1"/>
  <c r="E89" i="1"/>
  <c r="E88" i="1"/>
  <c r="E87" i="1"/>
  <c r="E86" i="1"/>
  <c r="E85" i="1"/>
  <c r="E83" i="1"/>
  <c r="E82" i="1"/>
  <c r="E81" i="1"/>
  <c r="E80" i="1"/>
  <c r="E79" i="1"/>
  <c r="E78" i="1"/>
  <c r="E77" i="1"/>
  <c r="E75" i="1"/>
  <c r="E73" i="1"/>
  <c r="E56" i="1" l="1"/>
  <c r="E54" i="1"/>
  <c r="E51" i="1"/>
  <c r="E50" i="1"/>
  <c r="E49" i="1"/>
  <c r="E48" i="1"/>
  <c r="E65" i="1"/>
  <c r="E64" i="1"/>
  <c r="E63" i="1"/>
  <c r="E62" i="1"/>
  <c r="E61" i="1"/>
  <c r="E60" i="1"/>
  <c r="E59" i="1"/>
  <c r="E58" i="1"/>
  <c r="E57" i="1"/>
  <c r="E55" i="1"/>
  <c r="E53" i="1"/>
  <c r="E52" i="1"/>
  <c r="E43" i="1" l="1"/>
  <c r="E44" i="1"/>
  <c r="E70" i="1" l="1"/>
  <c r="E71" i="1"/>
  <c r="E69" i="1"/>
  <c r="E68" i="1"/>
  <c r="E42" i="1" l="1"/>
  <c r="E41" i="1"/>
  <c r="E37" i="1" l="1"/>
  <c r="E21" i="1" l="1"/>
  <c r="E22" i="1"/>
  <c r="E24" i="1"/>
  <c r="E25" i="1"/>
  <c r="E26" i="1"/>
  <c r="E27" i="1"/>
  <c r="E28" i="1"/>
  <c r="E29" i="1"/>
  <c r="E30" i="1"/>
  <c r="E31" i="1"/>
  <c r="E32" i="1"/>
  <c r="E33" i="1"/>
  <c r="E34" i="1"/>
  <c r="E35" i="1"/>
  <c r="E20" i="1"/>
</calcChain>
</file>

<file path=xl/sharedStrings.xml><?xml version="1.0" encoding="utf-8"?>
<sst xmlns="http://schemas.openxmlformats.org/spreadsheetml/2006/main" count="242" uniqueCount="239">
  <si>
    <t>ID</t>
    <phoneticPr fontId="1" type="noConversion"/>
  </si>
  <si>
    <t>編號</t>
    <phoneticPr fontId="1" type="noConversion"/>
  </si>
  <si>
    <t>名稱</t>
    <phoneticPr fontId="1" type="noConversion"/>
  </si>
  <si>
    <t>End</t>
    <phoneticPr fontId="1" type="noConversion"/>
  </si>
  <si>
    <t>怪物強化時間</t>
  </si>
  <si>
    <t>怪物強化掉落</t>
  </si>
  <si>
    <t>金錢數量</t>
  </si>
  <si>
    <t>Name_</t>
    <phoneticPr fontId="1" type="noConversion"/>
  </si>
  <si>
    <t>移動</t>
  </si>
  <si>
    <t>變身時間</t>
  </si>
  <si>
    <t>裝備品階掉落</t>
  </si>
  <si>
    <t>MoveSpeed</t>
  </si>
  <si>
    <t>AvatarTime</t>
  </si>
  <si>
    <t>SkillTime</t>
  </si>
  <si>
    <t>SkillDrop</t>
  </si>
  <si>
    <t>MoneyGain</t>
  </si>
  <si>
    <t>EquipDrop</t>
  </si>
  <si>
    <t>強化類型</t>
    <phoneticPr fontId="1" type="noConversion"/>
  </si>
  <si>
    <t>StrengthenType</t>
    <phoneticPr fontId="1" type="noConversion"/>
  </si>
  <si>
    <t>Value</t>
    <phoneticPr fontId="1" type="noConversion"/>
  </si>
  <si>
    <t>武器等級賣價加成</t>
    <phoneticPr fontId="1" type="noConversion"/>
  </si>
  <si>
    <t>數值</t>
    <phoneticPr fontId="1" type="noConversion"/>
  </si>
  <si>
    <t>武器基礎賣價</t>
    <phoneticPr fontId="1" type="noConversion"/>
  </si>
  <si>
    <t>防具基礎賣價</t>
  </si>
  <si>
    <t>防具等級賣價加成</t>
  </si>
  <si>
    <t>防具數值等級加成</t>
  </si>
  <si>
    <t>武器基礎數值</t>
  </si>
  <si>
    <t>武器數值等級加成</t>
  </si>
  <si>
    <t>飾品基礎數值</t>
  </si>
  <si>
    <t>飾品數值等級加成</t>
  </si>
  <si>
    <t>飾品基礎賣價</t>
  </si>
  <si>
    <t>飾品等級賣價加成</t>
  </si>
  <si>
    <t>裝備賣價品階一加成</t>
    <phoneticPr fontId="1" type="noConversion"/>
  </si>
  <si>
    <t>裝備賣價品階二加成</t>
    <phoneticPr fontId="1" type="noConversion"/>
  </si>
  <si>
    <t>裝備賣價品階三加成</t>
    <phoneticPr fontId="1" type="noConversion"/>
  </si>
  <si>
    <t>裝備賣價品階四加成</t>
    <phoneticPr fontId="1" type="noConversion"/>
  </si>
  <si>
    <t>裝備賣價品階五加成</t>
    <phoneticPr fontId="1" type="noConversion"/>
  </si>
  <si>
    <t>GoldQuality2</t>
  </si>
  <si>
    <t>GoldQuality3</t>
  </si>
  <si>
    <t>GoldQuality4</t>
  </si>
  <si>
    <t>GoldQuality5</t>
  </si>
  <si>
    <t>WeaponValue</t>
    <phoneticPr fontId="1" type="noConversion"/>
  </si>
  <si>
    <t>WeaponLVUpValue</t>
    <phoneticPr fontId="1" type="noConversion"/>
  </si>
  <si>
    <t>WeaponLVUpGold</t>
    <phoneticPr fontId="1" type="noConversion"/>
  </si>
  <si>
    <t>ArmorValue</t>
    <phoneticPr fontId="1" type="noConversion"/>
  </si>
  <si>
    <t>ArmorLVUpValue</t>
    <phoneticPr fontId="1" type="noConversion"/>
  </si>
  <si>
    <t>ArmorGold</t>
    <phoneticPr fontId="1" type="noConversion"/>
  </si>
  <si>
    <t>ArmorLVUpGold</t>
    <phoneticPr fontId="1" type="noConversion"/>
  </si>
  <si>
    <t>AccessoryValue</t>
    <phoneticPr fontId="1" type="noConversion"/>
  </si>
  <si>
    <t>AccessoryLVUpValue</t>
    <phoneticPr fontId="1" type="noConversion"/>
  </si>
  <si>
    <t>AccessoryLVUpGold</t>
    <phoneticPr fontId="1" type="noConversion"/>
  </si>
  <si>
    <t>AccessoryGold</t>
    <phoneticPr fontId="1" type="noConversion"/>
  </si>
  <si>
    <t>GoldQuality1</t>
    <phoneticPr fontId="1" type="noConversion"/>
  </si>
  <si>
    <t>RandomStrength</t>
    <phoneticPr fontId="1" type="noConversion"/>
  </si>
  <si>
    <t>隨機移速上限</t>
  </si>
  <si>
    <t>隨機移動速度</t>
    <phoneticPr fontId="1" type="noConversion"/>
  </si>
  <si>
    <t>隨機移速衰減</t>
    <phoneticPr fontId="1" type="noConversion"/>
  </si>
  <si>
    <t>RandomHealth</t>
    <phoneticPr fontId="1" type="noConversion"/>
  </si>
  <si>
    <t>RandomShield</t>
    <phoneticPr fontId="1" type="noConversion"/>
  </si>
  <si>
    <t>RandomMoveSpeed</t>
    <phoneticPr fontId="1" type="noConversion"/>
  </si>
  <si>
    <t>RandomMaxMoveSpeed</t>
    <phoneticPr fontId="1" type="noConversion"/>
  </si>
  <si>
    <t>RandomSkillTime</t>
    <phoneticPr fontId="1" type="noConversion"/>
  </si>
  <si>
    <t>RandomSkillDrop</t>
    <phoneticPr fontId="1" type="noConversion"/>
  </si>
  <si>
    <t>RandomBloodThirsty</t>
    <phoneticPr fontId="1" type="noConversion"/>
  </si>
  <si>
    <t>RandomPotionEfficiency</t>
    <phoneticPr fontId="1" type="noConversion"/>
  </si>
  <si>
    <t>WeaponGold</t>
    <phoneticPr fontId="1" type="noConversion"/>
  </si>
  <si>
    <t>物品欄數量上限</t>
    <phoneticPr fontId="1" type="noConversion"/>
  </si>
  <si>
    <t>GrowingNumberColor</t>
    <phoneticPr fontId="1" type="noConversion"/>
  </si>
  <si>
    <t>上升數值色碼</t>
    <phoneticPr fontId="1" type="noConversion"/>
  </si>
  <si>
    <t>下降數值色碼</t>
    <phoneticPr fontId="1" type="noConversion"/>
  </si>
  <si>
    <t>一般數值色碼</t>
    <phoneticPr fontId="1" type="noConversion"/>
  </si>
  <si>
    <t>DropingNumberColor</t>
    <phoneticPr fontId="1" type="noConversion"/>
  </si>
  <si>
    <t>NormalNumberColor</t>
    <phoneticPr fontId="1" type="noConversion"/>
  </si>
  <si>
    <t>#FFF600</t>
    <phoneticPr fontId="1" type="noConversion"/>
  </si>
  <si>
    <t>#FF0A0A</t>
    <phoneticPr fontId="1" type="noConversion"/>
  </si>
  <si>
    <t>#96674D</t>
    <phoneticPr fontId="1" type="noConversion"/>
  </si>
  <si>
    <t>StrengthenPath</t>
    <phoneticPr fontId="1" type="noConversion"/>
  </si>
  <si>
    <t>強化圖像位置</t>
    <phoneticPr fontId="1" type="noConversion"/>
  </si>
  <si>
    <t>EquipPath</t>
    <phoneticPr fontId="1" type="noConversion"/>
  </si>
  <si>
    <t>Images/Strengthen/{0}</t>
    <phoneticPr fontId="1" type="noConversion"/>
  </si>
  <si>
    <t>前半段出怪間隔秒數</t>
    <phoneticPr fontId="1" type="noConversion"/>
  </si>
  <si>
    <t>後半段出怪間隔秒數</t>
    <phoneticPr fontId="1" type="noConversion"/>
  </si>
  <si>
    <t>冰凍減速效果</t>
    <phoneticPr fontId="1" type="noConversion"/>
  </si>
  <si>
    <t>FreezeMove</t>
    <phoneticPr fontId="1" type="noConversion"/>
  </si>
  <si>
    <t>詛咒攻擊下降</t>
    <phoneticPr fontId="1" type="noConversion"/>
  </si>
  <si>
    <t>BurnDamage</t>
    <phoneticPr fontId="1" type="noConversion"/>
  </si>
  <si>
    <t>CurseDamageReduce</t>
    <phoneticPr fontId="1" type="noConversion"/>
  </si>
  <si>
    <t>燃燒傷害</t>
    <phoneticPr fontId="1" type="noConversion"/>
  </si>
  <si>
    <t>燃燒間隔</t>
    <phoneticPr fontId="1" type="noConversion"/>
  </si>
  <si>
    <t>BurnInterval</t>
    <phoneticPr fontId="1" type="noConversion"/>
  </si>
  <si>
    <t>武器圖像位置</t>
    <phoneticPr fontId="1" type="noConversion"/>
  </si>
  <si>
    <t>Images/Equip/WEAPON/{0}</t>
    <phoneticPr fontId="1" type="noConversion"/>
  </si>
  <si>
    <t>防具圖像位置</t>
    <phoneticPr fontId="1" type="noConversion"/>
  </si>
  <si>
    <t>飾品圖像位置</t>
    <phoneticPr fontId="1" type="noConversion"/>
  </si>
  <si>
    <t>ArmorPath</t>
    <phoneticPr fontId="1" type="noConversion"/>
  </si>
  <si>
    <t>Images/Equip/ARMOR/{0}</t>
    <phoneticPr fontId="1" type="noConversion"/>
  </si>
  <si>
    <t>Images/Equip/RING/{0}</t>
    <phoneticPr fontId="1" type="noConversion"/>
  </si>
  <si>
    <t>MaxItemCount</t>
    <phoneticPr fontId="1" type="noConversion"/>
  </si>
  <si>
    <t>關卡</t>
    <phoneticPr fontId="1" type="noConversion"/>
  </si>
  <si>
    <t>介面</t>
    <phoneticPr fontId="1" type="noConversion"/>
  </si>
  <si>
    <t>ShieldGenerateProportion</t>
    <phoneticPr fontId="1" type="noConversion"/>
  </si>
  <si>
    <t>護盾回復(百分比/秒)</t>
    <phoneticPr fontId="1" type="noConversion"/>
  </si>
  <si>
    <t>每次殺怪獲得額外速度</t>
  </si>
  <si>
    <t>當下額外速度衰減完所需時間(秒)</t>
  </si>
  <si>
    <t>殺怪最高額外速度</t>
  </si>
  <si>
    <t>GainMoveFromKilling</t>
    <phoneticPr fontId="1" type="noConversion"/>
  </si>
  <si>
    <t>藥水掉落機率</t>
  </si>
  <si>
    <t>PotionDrop</t>
  </si>
  <si>
    <t>基礎移動速度</t>
    <phoneticPr fontId="1" type="noConversion"/>
  </si>
  <si>
    <t>最大血量</t>
    <phoneticPr fontId="1" type="noConversion"/>
  </si>
  <si>
    <t>BaseDamage</t>
    <phoneticPr fontId="1" type="noConversion"/>
  </si>
  <si>
    <t>BaseMoveSpeed</t>
    <phoneticPr fontId="1" type="noConversion"/>
  </si>
  <si>
    <t>MaxShield</t>
    <phoneticPr fontId="1" type="noConversion"/>
  </si>
  <si>
    <t>ShieldRechargeTime</t>
    <phoneticPr fontId="1" type="noConversion"/>
  </si>
  <si>
    <t>MaxExtraMove</t>
    <phoneticPr fontId="1" type="noConversion"/>
  </si>
  <si>
    <t>MaxAvaterTime</t>
    <phoneticPr fontId="1" type="noConversion"/>
  </si>
  <si>
    <t>SkillTimeBuff</t>
    <phoneticPr fontId="1" type="noConversion"/>
  </si>
  <si>
    <t>SkillDrop</t>
    <phoneticPr fontId="1" type="noConversion"/>
  </si>
  <si>
    <t>EquipDrop</t>
    <phoneticPr fontId="1" type="noConversion"/>
  </si>
  <si>
    <t>BloodThirsty</t>
    <phoneticPr fontId="1" type="noConversion"/>
  </si>
  <si>
    <t>PotionEfficiency</t>
    <phoneticPr fontId="1" type="noConversion"/>
  </si>
  <si>
    <t>關卡通關金幣</t>
    <phoneticPr fontId="1" type="noConversion"/>
  </si>
  <si>
    <t>新關卡突破金幣</t>
    <phoneticPr fontId="1" type="noConversion"/>
  </si>
  <si>
    <t>BOSS擊敗掉落寶石機率</t>
    <phoneticPr fontId="1" type="noConversion"/>
  </si>
  <si>
    <t>前半段最大出怪數量</t>
    <phoneticPr fontId="1" type="noConversion"/>
  </si>
  <si>
    <t>前半段最小出怪數量</t>
    <phoneticPr fontId="1" type="noConversion"/>
  </si>
  <si>
    <t>後半段最小出怪數量</t>
    <phoneticPr fontId="1" type="noConversion"/>
  </si>
  <si>
    <t>後半段最大出怪數量</t>
    <phoneticPr fontId="1" type="noConversion"/>
  </si>
  <si>
    <t>每隻怪物生出間隔時間</t>
    <phoneticPr fontId="1" type="noConversion"/>
  </si>
  <si>
    <t>出藥水間隔秒數</t>
    <phoneticPr fontId="1" type="noConversion"/>
  </si>
  <si>
    <t>出藥水機率</t>
    <phoneticPr fontId="1" type="noConversion"/>
  </si>
  <si>
    <t>PotionProportion</t>
    <phoneticPr fontId="1" type="noConversion"/>
  </si>
  <si>
    <t>EnemyFirstHalfInterval</t>
    <phoneticPr fontId="1" type="noConversion"/>
  </si>
  <si>
    <t>EnemySecondHalfInterval</t>
    <phoneticPr fontId="1" type="noConversion"/>
  </si>
  <si>
    <t>EnemyFirstHalfMinCount</t>
    <phoneticPr fontId="1" type="noConversion"/>
  </si>
  <si>
    <t>EnemySecondHalfMinCount</t>
    <phoneticPr fontId="1" type="noConversion"/>
  </si>
  <si>
    <t>EnemyFirstHalfMaxCount</t>
    <phoneticPr fontId="1" type="noConversion"/>
  </si>
  <si>
    <t>EnemySecondHalfMaxCount</t>
    <phoneticPr fontId="1" type="noConversion"/>
  </si>
  <si>
    <t>EnemySpawnInterval</t>
    <phoneticPr fontId="1" type="noConversion"/>
  </si>
  <si>
    <t>FloorPassGold</t>
    <phoneticPr fontId="1" type="noConversion"/>
  </si>
  <si>
    <t>NewFloorPassGold</t>
    <phoneticPr fontId="1" type="noConversion"/>
  </si>
  <si>
    <t>BossEmerald</t>
    <phoneticPr fontId="1" type="noConversion"/>
  </si>
  <si>
    <t>BossEmeraldProportion</t>
    <phoneticPr fontId="1" type="noConversion"/>
  </si>
  <si>
    <t>NewBossEmerald</t>
    <phoneticPr fontId="1" type="noConversion"/>
  </si>
  <si>
    <t>EnemyGold</t>
    <phoneticPr fontId="1" type="noConversion"/>
  </si>
  <si>
    <t>怪物金幣掉落機率</t>
    <phoneticPr fontId="1" type="noConversion"/>
  </si>
  <si>
    <t>NoEquipWeight</t>
    <phoneticPr fontId="1" type="noConversion"/>
  </si>
  <si>
    <t>裝備權重(白)</t>
    <phoneticPr fontId="5" type="noConversion"/>
  </si>
  <si>
    <t>裝備權重(綠)</t>
    <phoneticPr fontId="5" type="noConversion"/>
  </si>
  <si>
    <t>裝備權重(藍)</t>
    <phoneticPr fontId="5" type="noConversion"/>
  </si>
  <si>
    <t>裝備權重(紫)</t>
    <phoneticPr fontId="5" type="noConversion"/>
  </si>
  <si>
    <t>裝備權重(金)</t>
    <phoneticPr fontId="5" type="noConversion"/>
  </si>
  <si>
    <t>EquipQuality1Weight</t>
    <phoneticPr fontId="1" type="noConversion"/>
  </si>
  <si>
    <t>EquipQuality2Weight</t>
    <phoneticPr fontId="1" type="noConversion"/>
  </si>
  <si>
    <t>EquipQuality3Weight</t>
    <phoneticPr fontId="1" type="noConversion"/>
  </si>
  <si>
    <t>EquipQuality4Weight</t>
    <phoneticPr fontId="1" type="noConversion"/>
  </si>
  <si>
    <t>EquipQuality5Weight</t>
    <phoneticPr fontId="1" type="noConversion"/>
  </si>
  <si>
    <t>EnemyDropGoldProportion</t>
    <phoneticPr fontId="1" type="noConversion"/>
  </si>
  <si>
    <t>EnemyDropGold</t>
    <phoneticPr fontId="1" type="noConversion"/>
  </si>
  <si>
    <t>EnemyDropGoldOffset</t>
    <phoneticPr fontId="1" type="noConversion"/>
  </si>
  <si>
    <t>怪物金幣掉落偏差值(填0.3就是正負30%)</t>
    <phoneticPr fontId="1" type="noConversion"/>
  </si>
  <si>
    <t>PotionInterval</t>
    <phoneticPr fontId="1" type="noConversion"/>
  </si>
  <si>
    <t>戰鬥常數</t>
    <phoneticPr fontId="1" type="noConversion"/>
  </si>
  <si>
    <t>腳色基本數值</t>
    <phoneticPr fontId="1" type="noConversion"/>
  </si>
  <si>
    <t>畫面中怪物最大數量</t>
    <phoneticPr fontId="1" type="noConversion"/>
  </si>
  <si>
    <t>畫面中道具最大數量</t>
    <phoneticPr fontId="1" type="noConversion"/>
  </si>
  <si>
    <t>一層樓幾個板塊</t>
    <phoneticPr fontId="1" type="noConversion"/>
  </si>
  <si>
    <t>BOSS出場在倒數第幾個板塊</t>
    <phoneticPr fontId="1" type="noConversion"/>
  </si>
  <si>
    <t>MaxLoot</t>
    <phoneticPr fontId="1" type="noConversion"/>
  </si>
  <si>
    <t>FloorPlate</t>
    <phoneticPr fontId="1" type="noConversion"/>
  </si>
  <si>
    <t>BossDebutPlate</t>
    <phoneticPr fontId="1" type="noConversion"/>
  </si>
  <si>
    <t>EnemyDropPotionProportion</t>
    <phoneticPr fontId="1" type="noConversion"/>
  </si>
  <si>
    <t>怪物藥水掉落機率</t>
    <phoneticPr fontId="1" type="noConversion"/>
  </si>
  <si>
    <t>結算怪物金幣(加上樓層數)</t>
    <phoneticPr fontId="1" type="noConversion"/>
  </si>
  <si>
    <t>BOSS擊敗掉落寶石(加上樓層數)</t>
    <phoneticPr fontId="1" type="noConversion"/>
  </si>
  <si>
    <t>新BOSS擊敗寶石(乘以樓層數)</t>
    <phoneticPr fontId="1" type="noConversion"/>
  </si>
  <si>
    <t>怪物金幣(乘以樓層數)</t>
    <phoneticPr fontId="1" type="noConversion"/>
  </si>
  <si>
    <t>掉落武器權重</t>
    <phoneticPr fontId="1" type="noConversion"/>
  </si>
  <si>
    <t>掉落飾品權重</t>
    <phoneticPr fontId="1" type="noConversion"/>
  </si>
  <si>
    <t>掉落防具權重</t>
    <phoneticPr fontId="1" type="noConversion"/>
  </si>
  <si>
    <t>DropWeaponWeight</t>
    <phoneticPr fontId="1" type="noConversion"/>
  </si>
  <si>
    <t>DropArmorWeight</t>
    <phoneticPr fontId="1" type="noConversion"/>
  </si>
  <si>
    <t>DropAccessoryWeight</t>
    <phoneticPr fontId="1" type="noConversion"/>
  </si>
  <si>
    <t>MaxHealth</t>
    <phoneticPr fontId="1" type="noConversion"/>
  </si>
  <si>
    <t>MoveDepletedTime</t>
    <phoneticPr fontId="1" type="noConversion"/>
  </si>
  <si>
    <t>RandomMoveDecay</t>
    <phoneticPr fontId="1" type="noConversion"/>
  </si>
  <si>
    <t>RandomShieldRecovery</t>
    <phoneticPr fontId="1" type="noConversion"/>
  </si>
  <si>
    <t>RandomShieldRecharge</t>
    <phoneticPr fontId="1" type="noConversion"/>
  </si>
  <si>
    <t>隨機護盾回復(百分比/秒)</t>
    <phoneticPr fontId="1" type="noConversion"/>
  </si>
  <si>
    <t>護盾要沒受到攻擊多久時間(秒)才會開始充能</t>
    <phoneticPr fontId="1" type="noConversion"/>
  </si>
  <si>
    <t>護盾要沒受到攻擊多久時間(秒)才會開始充能(0.3代表減0.3秒)</t>
    <phoneticPr fontId="1" type="noConversion"/>
  </si>
  <si>
    <t>隨機力量(隨等級成長)</t>
    <phoneticPr fontId="1" type="noConversion"/>
  </si>
  <si>
    <t>隨機血量(隨等級成長)</t>
    <phoneticPr fontId="1" type="noConversion"/>
  </si>
  <si>
    <t>隨機護盾(隨等級成長)</t>
    <phoneticPr fontId="1" type="noConversion"/>
  </si>
  <si>
    <t>藥水效果強化比例(所有藥效時間，若是回血就是補血量)</t>
    <phoneticPr fontId="1" type="noConversion"/>
  </si>
  <si>
    <t>隨機玩家變身時間(秒)</t>
    <phoneticPr fontId="1" type="noConversion"/>
  </si>
  <si>
    <t>隨機玩家變身掉落能量(秒)(1就是增加1秒)</t>
    <phoneticPr fontId="1" type="noConversion"/>
  </si>
  <si>
    <t>RandomAvatarTime</t>
    <phoneticPr fontId="1" type="noConversion"/>
  </si>
  <si>
    <t>RandomAvatarPotionBuff</t>
    <phoneticPr fontId="1" type="noConversion"/>
  </si>
  <si>
    <t>AvatarPotionBuff</t>
    <phoneticPr fontId="1" type="noConversion"/>
  </si>
  <si>
    <t>變身藥水加成(秒)</t>
    <phoneticPr fontId="1" type="noConversion"/>
  </si>
  <si>
    <t>裝備權重(無)</t>
    <phoneticPr fontId="5" type="noConversion"/>
  </si>
  <si>
    <t>隨機裝備掉落權重(填5裝備權重(無)的權重-5)</t>
    <phoneticPr fontId="1" type="noConversion"/>
  </si>
  <si>
    <t>RandomEquipDrop</t>
    <phoneticPr fontId="1" type="noConversion"/>
  </si>
  <si>
    <t>金錢掉落加成(填0.1就是殺死怪物掉的金幣數+10%)</t>
    <phoneticPr fontId="1" type="noConversion"/>
  </si>
  <si>
    <t>隨機怪物技能掉落機率</t>
    <phoneticPr fontId="1" type="noConversion"/>
  </si>
  <si>
    <t>隨機怪物技能時間</t>
    <phoneticPr fontId="1" type="noConversion"/>
  </si>
  <si>
    <t>隨機怪物技能時間(秒)</t>
    <phoneticPr fontId="1" type="noConversion"/>
  </si>
  <si>
    <t>GoldDrop</t>
    <phoneticPr fontId="1" type="noConversion"/>
  </si>
  <si>
    <t>吸血比例(依普攻造成傷害的百分比回復血量)</t>
    <phoneticPr fontId="1" type="noConversion"/>
  </si>
  <si>
    <t>隨機吸血比例(依普攻造成傷害的百分比回復血量)</t>
    <phoneticPr fontId="1" type="noConversion"/>
  </si>
  <si>
    <t>MaxForeEnemy</t>
    <phoneticPr fontId="1" type="noConversion"/>
  </si>
  <si>
    <t>MaxBackEnemy</t>
    <phoneticPr fontId="1" type="noConversion"/>
  </si>
  <si>
    <t>前方預產怪物最大數量</t>
    <phoneticPr fontId="1" type="noConversion"/>
  </si>
  <si>
    <t>後方預產怪物最大數量</t>
    <phoneticPr fontId="1" type="noConversion"/>
  </si>
  <si>
    <t>MaxEnemy</t>
    <phoneticPr fontId="1" type="noConversion"/>
  </si>
  <si>
    <t>SoulPath</t>
    <phoneticPr fontId="1" type="noConversion"/>
  </si>
  <si>
    <t>靈魂圖像位置</t>
    <phoneticPr fontId="1" type="noConversion"/>
  </si>
  <si>
    <t>AccessoryPath</t>
    <phoneticPr fontId="1" type="noConversion"/>
  </si>
  <si>
    <t>衝刺CD</t>
    <phoneticPr fontId="1" type="noConversion"/>
  </si>
  <si>
    <t>RushCD</t>
    <phoneticPr fontId="1" type="noConversion"/>
  </si>
  <si>
    <t>EnemyHPGrow</t>
    <phoneticPr fontId="1" type="noConversion"/>
  </si>
  <si>
    <t>怪物生命每層樓成長</t>
    <phoneticPr fontId="1" type="noConversion"/>
  </si>
  <si>
    <t>EnemyDMGGrow</t>
    <phoneticPr fontId="1" type="noConversion"/>
  </si>
  <si>
    <t>怪物攻擊每層樓成長</t>
    <phoneticPr fontId="1" type="noConversion"/>
  </si>
  <si>
    <t>BossHPGrow</t>
    <phoneticPr fontId="1" type="noConversion"/>
  </si>
  <si>
    <t>BossDMGGrow</t>
    <phoneticPr fontId="1" type="noConversion"/>
  </si>
  <si>
    <t>防具基礎數值</t>
    <phoneticPr fontId="1" type="noConversion"/>
  </si>
  <si>
    <t>基礎傷害</t>
    <phoneticPr fontId="1" type="noConversion"/>
  </si>
  <si>
    <t>護盾最大值</t>
    <phoneticPr fontId="1" type="noConversion"/>
  </si>
  <si>
    <t>BOSS生命每層樓成長</t>
    <phoneticPr fontId="1" type="noConversion"/>
  </si>
  <si>
    <t>BOSS攻擊每層樓成長</t>
    <phoneticPr fontId="1" type="noConversion"/>
  </si>
  <si>
    <t>Images/Soul/{0}</t>
    <phoneticPr fontId="1" type="noConversion"/>
  </si>
  <si>
    <t>Images/Enchant/{0}</t>
    <phoneticPr fontId="1" type="noConversion"/>
  </si>
  <si>
    <t>附魔圖像位置</t>
    <phoneticPr fontId="1" type="noConversion"/>
  </si>
  <si>
    <t>EnchantPath</t>
    <phoneticPr fontId="1" type="noConversion"/>
  </si>
  <si>
    <t>RandomGoldDrop</t>
    <phoneticPr fontId="1" type="noConversion"/>
  </si>
  <si>
    <t>隨機金錢掉落加成(填1就是殺死怪物掉的金幣數+1，填0.25就是裝備約每4等級+1金幣)</t>
    <phoneticPr fontId="1" type="noConversion"/>
  </si>
  <si>
    <t>隨機藥效加成(0.3就是所有藥效時間+0.3秒，若是回血就是補血量+30%)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</si>
</sst>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2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2"/>
      <color theme="0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2"/>
      <color theme="1"/>
      <name val="新細明體"/>
      <family val="1"/>
      <charset val="136"/>
      <scheme val="minor"/>
    </font>
    <font>
      <sz val="9"/>
      <name val="新細明體"/>
      <family val="2"/>
      <charset val="136"/>
      <scheme val="minor"/>
    </font>
    <font>
      <b/>
      <sz val="12"/>
      <color theme="0"/>
      <name val="新細明體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0" xfId="0" applyFill="1"/>
    <xf numFmtId="0" fontId="2" fillId="3" borderId="0" xfId="0" applyFont="1" applyFill="1"/>
    <xf numFmtId="0" fontId="3" fillId="0" borderId="0" xfId="0" applyFont="1"/>
    <xf numFmtId="0" fontId="4" fillId="0" borderId="0" xfId="0" applyFont="1"/>
    <xf numFmtId="0" fontId="0" fillId="0" borderId="0" xfId="0" applyNumberFormat="1" applyAlignment="1">
      <alignment vertical="center"/>
    </xf>
    <xf numFmtId="0" fontId="6" fillId="3" borderId="0" xfId="0" applyFont="1" applyFill="1"/>
    <xf numFmtId="0" fontId="0" fillId="0" borderId="0" xfId="0" applyFill="1"/>
    <xf numFmtId="0" fontId="0" fillId="0" borderId="0" xfId="0" applyFill="1" applyAlignment="1">
      <alignment vertical="center"/>
    </xf>
    <xf numFmtId="10" fontId="0" fillId="0" borderId="0" xfId="0" applyNumberFormat="1"/>
  </cellXfs>
  <cellStyles count="1">
    <cellStyle name="一般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rain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rain"/>
      <sheetName val="Defined"/>
    </sheetNames>
    <sheetDataSet>
      <sheetData sheetId="0"/>
      <sheetData sheetId="1">
        <row r="2">
          <cell r="C2" t="b">
            <v>1</v>
          </cell>
        </row>
        <row r="3">
          <cell r="C3" t="b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I111"/>
  <sheetViews>
    <sheetView tabSelected="1" workbookViewId="0">
      <pane xSplit="2" ySplit="2" topLeftCell="C15" activePane="bottomRight" state="frozen"/>
      <selection pane="topRight" activeCell="C1" sqref="C1"/>
      <selection pane="bottomLeft" activeCell="A3" sqref="A3"/>
      <selection pane="bottomRight" activeCell="B27" sqref="B27"/>
    </sheetView>
  </sheetViews>
  <sheetFormatPr defaultRowHeight="16.5" x14ac:dyDescent="0.25"/>
  <cols>
    <col min="1" max="1" width="22.625" customWidth="1"/>
    <col min="2" max="2" width="25.375" customWidth="1"/>
    <col min="3" max="3" width="14.375" customWidth="1"/>
    <col min="4" max="9" width="19.5" customWidth="1"/>
    <col min="10" max="10" width="20" customWidth="1"/>
    <col min="11" max="11" width="17.75" customWidth="1"/>
    <col min="12" max="12" width="14.625" customWidth="1"/>
    <col min="13" max="13" width="13.875" customWidth="1"/>
    <col min="14" max="14" width="6.75" customWidth="1"/>
    <col min="15" max="15" width="19.625" customWidth="1"/>
    <col min="16" max="16" width="20" customWidth="1"/>
  </cols>
  <sheetData>
    <row r="1" spans="1:3" s="1" customFormat="1" x14ac:dyDescent="0.25">
      <c r="A1" s="1" t="s">
        <v>0</v>
      </c>
      <c r="B1" s="1" t="s">
        <v>7</v>
      </c>
      <c r="C1" s="1" t="s">
        <v>19</v>
      </c>
    </row>
    <row r="2" spans="1:3" s="1" customFormat="1" x14ac:dyDescent="0.25">
      <c r="A2" s="1" t="s">
        <v>1</v>
      </c>
      <c r="B2" s="1" t="s">
        <v>2</v>
      </c>
      <c r="C2" s="1" t="s">
        <v>21</v>
      </c>
    </row>
    <row r="3" spans="1:3" x14ac:dyDescent="0.25">
      <c r="A3" t="s">
        <v>41</v>
      </c>
      <c r="B3" t="s">
        <v>26</v>
      </c>
      <c r="C3">
        <v>8</v>
      </c>
    </row>
    <row r="4" spans="1:3" x14ac:dyDescent="0.25">
      <c r="A4" t="s">
        <v>42</v>
      </c>
      <c r="B4" t="s">
        <v>27</v>
      </c>
      <c r="C4">
        <v>4</v>
      </c>
    </row>
    <row r="5" spans="1:3" x14ac:dyDescent="0.25">
      <c r="A5" t="s">
        <v>65</v>
      </c>
      <c r="B5" t="s">
        <v>22</v>
      </c>
      <c r="C5">
        <v>10</v>
      </c>
    </row>
    <row r="6" spans="1:3" x14ac:dyDescent="0.25">
      <c r="A6" t="s">
        <v>43</v>
      </c>
      <c r="B6" t="s">
        <v>20</v>
      </c>
      <c r="C6">
        <v>2</v>
      </c>
    </row>
    <row r="7" spans="1:3" x14ac:dyDescent="0.25">
      <c r="A7" t="s">
        <v>44</v>
      </c>
      <c r="B7" t="s">
        <v>227</v>
      </c>
      <c r="C7">
        <v>80</v>
      </c>
    </row>
    <row r="8" spans="1:3" x14ac:dyDescent="0.25">
      <c r="A8" t="s">
        <v>45</v>
      </c>
      <c r="B8" t="s">
        <v>25</v>
      </c>
      <c r="C8">
        <v>40</v>
      </c>
    </row>
    <row r="9" spans="1:3" x14ac:dyDescent="0.25">
      <c r="A9" t="s">
        <v>46</v>
      </c>
      <c r="B9" t="s">
        <v>23</v>
      </c>
      <c r="C9">
        <v>10</v>
      </c>
    </row>
    <row r="10" spans="1:3" x14ac:dyDescent="0.25">
      <c r="A10" t="s">
        <v>47</v>
      </c>
      <c r="B10" t="s">
        <v>24</v>
      </c>
      <c r="C10">
        <v>2</v>
      </c>
    </row>
    <row r="11" spans="1:3" x14ac:dyDescent="0.25">
      <c r="A11" t="s">
        <v>48</v>
      </c>
      <c r="B11" t="s">
        <v>28</v>
      </c>
      <c r="C11">
        <v>10</v>
      </c>
    </row>
    <row r="12" spans="1:3" x14ac:dyDescent="0.25">
      <c r="A12" t="s">
        <v>49</v>
      </c>
      <c r="B12" t="s">
        <v>29</v>
      </c>
      <c r="C12">
        <v>5</v>
      </c>
    </row>
    <row r="13" spans="1:3" x14ac:dyDescent="0.25">
      <c r="A13" t="s">
        <v>51</v>
      </c>
      <c r="B13" t="s">
        <v>30</v>
      </c>
      <c r="C13">
        <v>10</v>
      </c>
    </row>
    <row r="14" spans="1:3" x14ac:dyDescent="0.25">
      <c r="A14" t="s">
        <v>50</v>
      </c>
      <c r="B14" t="s">
        <v>31</v>
      </c>
      <c r="C14">
        <v>2</v>
      </c>
    </row>
    <row r="15" spans="1:3" x14ac:dyDescent="0.25">
      <c r="A15" t="s">
        <v>52</v>
      </c>
      <c r="B15" t="s">
        <v>32</v>
      </c>
      <c r="C15">
        <v>1</v>
      </c>
    </row>
    <row r="16" spans="1:3" x14ac:dyDescent="0.25">
      <c r="A16" t="s">
        <v>37</v>
      </c>
      <c r="B16" t="s">
        <v>33</v>
      </c>
      <c r="C16">
        <v>2</v>
      </c>
    </row>
    <row r="17" spans="1:5" x14ac:dyDescent="0.25">
      <c r="A17" t="s">
        <v>38</v>
      </c>
      <c r="B17" t="s">
        <v>34</v>
      </c>
      <c r="C17">
        <v>4</v>
      </c>
    </row>
    <row r="18" spans="1:5" x14ac:dyDescent="0.25">
      <c r="A18" t="s">
        <v>39</v>
      </c>
      <c r="B18" t="s">
        <v>35</v>
      </c>
      <c r="C18">
        <v>8</v>
      </c>
    </row>
    <row r="19" spans="1:5" x14ac:dyDescent="0.25">
      <c r="A19" t="s">
        <v>40</v>
      </c>
      <c r="B19" t="s">
        <v>36</v>
      </c>
      <c r="C19">
        <v>16</v>
      </c>
    </row>
    <row r="20" spans="1:5" x14ac:dyDescent="0.25">
      <c r="A20" t="s">
        <v>53</v>
      </c>
      <c r="B20" t="s">
        <v>191</v>
      </c>
      <c r="C20">
        <v>1</v>
      </c>
      <c r="E20" t="str">
        <f t="shared" ref="E20:E35" si="0">"public static float "&amp;A20&amp;";"</f>
        <v>public static float RandomStrength;</v>
      </c>
    </row>
    <row r="21" spans="1:5" x14ac:dyDescent="0.25">
      <c r="A21" t="s">
        <v>57</v>
      </c>
      <c r="B21" t="s">
        <v>192</v>
      </c>
      <c r="C21">
        <v>10</v>
      </c>
      <c r="E21" t="str">
        <f t="shared" si="0"/>
        <v>public static float RandomHealth;</v>
      </c>
    </row>
    <row r="22" spans="1:5" x14ac:dyDescent="0.25">
      <c r="A22" t="s">
        <v>58</v>
      </c>
      <c r="B22" t="s">
        <v>193</v>
      </c>
      <c r="C22">
        <v>1</v>
      </c>
      <c r="E22" t="str">
        <f t="shared" si="0"/>
        <v>public static float RandomShield;</v>
      </c>
    </row>
    <row r="23" spans="1:5" x14ac:dyDescent="0.25">
      <c r="A23" t="s">
        <v>187</v>
      </c>
      <c r="B23" t="s">
        <v>190</v>
      </c>
      <c r="C23">
        <v>0.3</v>
      </c>
      <c r="E23" t="str">
        <f t="shared" ref="E23" si="1">"public static float "&amp;A23&amp;";"</f>
        <v>public static float RandomShieldRecharge;</v>
      </c>
    </row>
    <row r="24" spans="1:5" x14ac:dyDescent="0.25">
      <c r="A24" t="s">
        <v>186</v>
      </c>
      <c r="B24" t="s">
        <v>188</v>
      </c>
      <c r="C24">
        <v>0.05</v>
      </c>
      <c r="E24" t="str">
        <f t="shared" si="0"/>
        <v>public static float RandomShieldRecovery;</v>
      </c>
    </row>
    <row r="25" spans="1:5" x14ac:dyDescent="0.25">
      <c r="A25" t="s">
        <v>59</v>
      </c>
      <c r="B25" t="s">
        <v>55</v>
      </c>
      <c r="C25">
        <v>30</v>
      </c>
      <c r="E25" t="str">
        <f t="shared" si="0"/>
        <v>public static float RandomMoveSpeed;</v>
      </c>
    </row>
    <row r="26" spans="1:5" x14ac:dyDescent="0.25">
      <c r="A26" t="s">
        <v>60</v>
      </c>
      <c r="B26" t="s">
        <v>54</v>
      </c>
      <c r="C26">
        <v>60</v>
      </c>
      <c r="E26" t="str">
        <f t="shared" si="0"/>
        <v>public static float RandomMaxMoveSpeed;</v>
      </c>
    </row>
    <row r="27" spans="1:5" x14ac:dyDescent="0.25">
      <c r="A27" t="s">
        <v>185</v>
      </c>
      <c r="B27" t="s">
        <v>56</v>
      </c>
      <c r="C27">
        <v>0.5</v>
      </c>
      <c r="E27" t="str">
        <f t="shared" si="0"/>
        <v>public static float RandomMoveDecay;</v>
      </c>
    </row>
    <row r="28" spans="1:5" x14ac:dyDescent="0.25">
      <c r="A28" t="s">
        <v>197</v>
      </c>
      <c r="B28" t="s">
        <v>195</v>
      </c>
      <c r="C28">
        <v>5</v>
      </c>
      <c r="E28" t="str">
        <f t="shared" si="0"/>
        <v>public static float RandomAvatarTime;</v>
      </c>
    </row>
    <row r="29" spans="1:5" x14ac:dyDescent="0.25">
      <c r="A29" t="s">
        <v>198</v>
      </c>
      <c r="B29" t="s">
        <v>196</v>
      </c>
      <c r="C29">
        <v>1</v>
      </c>
      <c r="E29" t="str">
        <f t="shared" si="0"/>
        <v>public static float RandomAvatarPotionBuff;</v>
      </c>
    </row>
    <row r="30" spans="1:5" x14ac:dyDescent="0.25">
      <c r="A30" t="s">
        <v>61</v>
      </c>
      <c r="B30" t="s">
        <v>206</v>
      </c>
      <c r="C30">
        <v>1</v>
      </c>
      <c r="E30" t="str">
        <f t="shared" si="0"/>
        <v>public static float RandomSkillTime;</v>
      </c>
    </row>
    <row r="31" spans="1:5" x14ac:dyDescent="0.25">
      <c r="A31" t="s">
        <v>62</v>
      </c>
      <c r="B31" t="s">
        <v>205</v>
      </c>
      <c r="C31">
        <v>0.05</v>
      </c>
      <c r="E31" t="str">
        <f t="shared" si="0"/>
        <v>public static float RandomSkillDrop;</v>
      </c>
    </row>
    <row r="32" spans="1:5" x14ac:dyDescent="0.25">
      <c r="A32" t="s">
        <v>203</v>
      </c>
      <c r="B32" t="s">
        <v>202</v>
      </c>
      <c r="C32">
        <v>5</v>
      </c>
      <c r="E32" t="str">
        <f t="shared" si="0"/>
        <v>public static float RandomEquipDrop;</v>
      </c>
    </row>
    <row r="33" spans="1:7" x14ac:dyDescent="0.25">
      <c r="A33" t="s">
        <v>236</v>
      </c>
      <c r="B33" t="s">
        <v>237</v>
      </c>
      <c r="C33">
        <v>0.25</v>
      </c>
      <c r="E33" t="str">
        <f t="shared" si="0"/>
        <v>public static float RandomGoldDrop;</v>
      </c>
    </row>
    <row r="34" spans="1:7" x14ac:dyDescent="0.25">
      <c r="A34" t="s">
        <v>63</v>
      </c>
      <c r="B34" t="s">
        <v>210</v>
      </c>
      <c r="C34">
        <v>0.02</v>
      </c>
      <c r="E34" t="str">
        <f t="shared" si="0"/>
        <v>public static float RandomBloodThirsty;</v>
      </c>
    </row>
    <row r="35" spans="1:7" x14ac:dyDescent="0.25">
      <c r="A35" t="s">
        <v>64</v>
      </c>
      <c r="B35" t="s">
        <v>238</v>
      </c>
      <c r="C35">
        <v>0.3</v>
      </c>
      <c r="E35" t="str">
        <f t="shared" si="0"/>
        <v>public static float RandomPotionEfficiency;</v>
      </c>
    </row>
    <row r="36" spans="1:7" x14ac:dyDescent="0.25">
      <c r="B36" s="3" t="s">
        <v>99</v>
      </c>
    </row>
    <row r="37" spans="1:7" x14ac:dyDescent="0.25">
      <c r="A37" t="s">
        <v>97</v>
      </c>
      <c r="B37" t="s">
        <v>66</v>
      </c>
      <c r="C37">
        <v>150</v>
      </c>
      <c r="E37" t="str">
        <f>"public static float "&amp;A37&amp;";"</f>
        <v>public static float MaxItemCount;</v>
      </c>
    </row>
    <row r="38" spans="1:7" x14ac:dyDescent="0.25">
      <c r="A38" t="s">
        <v>67</v>
      </c>
      <c r="B38" t="s">
        <v>68</v>
      </c>
      <c r="C38" t="s">
        <v>73</v>
      </c>
    </row>
    <row r="39" spans="1:7" x14ac:dyDescent="0.25">
      <c r="A39" t="s">
        <v>71</v>
      </c>
      <c r="B39" t="s">
        <v>69</v>
      </c>
      <c r="C39" t="s">
        <v>74</v>
      </c>
    </row>
    <row r="40" spans="1:7" x14ac:dyDescent="0.25">
      <c r="A40" t="s">
        <v>72</v>
      </c>
      <c r="B40" t="s">
        <v>70</v>
      </c>
      <c r="C40" t="s">
        <v>75</v>
      </c>
    </row>
    <row r="41" spans="1:7" x14ac:dyDescent="0.25">
      <c r="A41" t="s">
        <v>76</v>
      </c>
      <c r="B41" t="s">
        <v>77</v>
      </c>
      <c r="C41" t="s">
        <v>79</v>
      </c>
      <c r="E41" t="str">
        <f t="shared" ref="E41:E71" si="2">"public static float "&amp;A41&amp;";"</f>
        <v>public static float StrengthenPath;</v>
      </c>
    </row>
    <row r="42" spans="1:7" x14ac:dyDescent="0.25">
      <c r="A42" t="s">
        <v>78</v>
      </c>
      <c r="B42" t="s">
        <v>90</v>
      </c>
      <c r="C42" t="s">
        <v>91</v>
      </c>
      <c r="E42" t="str">
        <f t="shared" si="2"/>
        <v>public static float EquipPath;</v>
      </c>
    </row>
    <row r="43" spans="1:7" x14ac:dyDescent="0.25">
      <c r="A43" t="s">
        <v>94</v>
      </c>
      <c r="B43" t="s">
        <v>92</v>
      </c>
      <c r="C43" t="s">
        <v>95</v>
      </c>
      <c r="E43" t="str">
        <f t="shared" si="2"/>
        <v>public static float ArmorPath;</v>
      </c>
    </row>
    <row r="44" spans="1:7" x14ac:dyDescent="0.25">
      <c r="A44" t="s">
        <v>218</v>
      </c>
      <c r="B44" t="s">
        <v>93</v>
      </c>
      <c r="C44" t="s">
        <v>96</v>
      </c>
      <c r="E44" t="str">
        <f t="shared" ref="E44:E45" si="3">"public static float "&amp;A44&amp;";"</f>
        <v>public static float AccessoryPath;</v>
      </c>
    </row>
    <row r="45" spans="1:7" x14ac:dyDescent="0.25">
      <c r="A45" t="s">
        <v>216</v>
      </c>
      <c r="B45" t="s">
        <v>217</v>
      </c>
      <c r="C45" t="s">
        <v>232</v>
      </c>
      <c r="E45" t="str">
        <f t="shared" si="3"/>
        <v>public static float SoulPath;</v>
      </c>
    </row>
    <row r="46" spans="1:7" x14ac:dyDescent="0.25">
      <c r="A46" t="s">
        <v>235</v>
      </c>
      <c r="B46" t="s">
        <v>234</v>
      </c>
      <c r="C46" t="s">
        <v>233</v>
      </c>
      <c r="E46" t="str">
        <f t="shared" ref="E46" si="4">"public static float "&amp;A46&amp;";"</f>
        <v>public static float EnchantPath;</v>
      </c>
    </row>
    <row r="47" spans="1:7" s="2" customFormat="1" x14ac:dyDescent="0.25">
      <c r="B47" s="6" t="s">
        <v>163</v>
      </c>
    </row>
    <row r="48" spans="1:7" x14ac:dyDescent="0.25">
      <c r="A48" t="s">
        <v>183</v>
      </c>
      <c r="B48" s="4" t="s">
        <v>109</v>
      </c>
      <c r="C48">
        <v>300</v>
      </c>
      <c r="E48" t="str">
        <f>"public static int "&amp;A48&amp;";"</f>
        <v>public static int MaxHealth;</v>
      </c>
      <c r="G48">
        <v>30</v>
      </c>
    </row>
    <row r="49" spans="1:7" x14ac:dyDescent="0.25">
      <c r="A49" t="s">
        <v>110</v>
      </c>
      <c r="B49" s="4" t="s">
        <v>228</v>
      </c>
      <c r="C49">
        <v>10</v>
      </c>
      <c r="E49" t="str">
        <f>"public static int "&amp;A49&amp;";"</f>
        <v>public static int BaseDamage;</v>
      </c>
      <c r="G49">
        <v>10</v>
      </c>
    </row>
    <row r="50" spans="1:7" x14ac:dyDescent="0.25">
      <c r="A50" t="s">
        <v>111</v>
      </c>
      <c r="B50" s="4" t="s">
        <v>108</v>
      </c>
      <c r="C50">
        <v>1000</v>
      </c>
      <c r="E50" t="str">
        <f>"public static int "&amp;A50&amp;";"</f>
        <v>public static int BaseMoveSpeed;</v>
      </c>
      <c r="G50">
        <v>1000</v>
      </c>
    </row>
    <row r="51" spans="1:7" x14ac:dyDescent="0.25">
      <c r="A51" t="s">
        <v>112</v>
      </c>
      <c r="B51" s="4" t="s">
        <v>229</v>
      </c>
      <c r="C51">
        <v>60</v>
      </c>
      <c r="E51" t="str">
        <f>"public static int "&amp;A51&amp;";"</f>
        <v>public static int MaxShield;</v>
      </c>
      <c r="G51">
        <v>10</v>
      </c>
    </row>
    <row r="52" spans="1:7" x14ac:dyDescent="0.25">
      <c r="A52" t="s">
        <v>100</v>
      </c>
      <c r="B52" s="4" t="s">
        <v>101</v>
      </c>
      <c r="C52">
        <v>0.2</v>
      </c>
      <c r="E52" t="str">
        <f t="shared" si="2"/>
        <v>public static float ShieldGenerateProportion;</v>
      </c>
      <c r="G52">
        <v>0.2</v>
      </c>
    </row>
    <row r="53" spans="1:7" x14ac:dyDescent="0.25">
      <c r="A53" t="s">
        <v>113</v>
      </c>
      <c r="B53" s="4" t="s">
        <v>189</v>
      </c>
      <c r="C53">
        <v>5</v>
      </c>
      <c r="E53" t="str">
        <f t="shared" si="2"/>
        <v>public static float ShieldRechargeTime;</v>
      </c>
      <c r="G53">
        <v>5</v>
      </c>
    </row>
    <row r="54" spans="1:7" x14ac:dyDescent="0.25">
      <c r="A54" t="s">
        <v>105</v>
      </c>
      <c r="B54" s="4" t="s">
        <v>102</v>
      </c>
      <c r="C54">
        <v>50</v>
      </c>
      <c r="E54" t="str">
        <f>"public static int "&amp;A54&amp;";"</f>
        <v>public static int GainMoveFromKilling;</v>
      </c>
      <c r="G54">
        <v>150</v>
      </c>
    </row>
    <row r="55" spans="1:7" x14ac:dyDescent="0.25">
      <c r="A55" t="s">
        <v>184</v>
      </c>
      <c r="B55" s="4" t="s">
        <v>103</v>
      </c>
      <c r="C55">
        <v>5</v>
      </c>
      <c r="E55" t="str">
        <f t="shared" si="2"/>
        <v>public static float MoveDepletedTime;</v>
      </c>
      <c r="G55">
        <v>5</v>
      </c>
    </row>
    <row r="56" spans="1:7" x14ac:dyDescent="0.25">
      <c r="A56" t="s">
        <v>114</v>
      </c>
      <c r="B56" s="4" t="s">
        <v>104</v>
      </c>
      <c r="C56">
        <v>500</v>
      </c>
      <c r="E56" t="str">
        <f>"public static int "&amp;A56&amp;";"</f>
        <v>public static int MaxExtraMove;</v>
      </c>
      <c r="G56">
        <v>500</v>
      </c>
    </row>
    <row r="57" spans="1:7" x14ac:dyDescent="0.25">
      <c r="A57" t="s">
        <v>115</v>
      </c>
      <c r="B57" s="4" t="s">
        <v>9</v>
      </c>
      <c r="C57">
        <v>60</v>
      </c>
      <c r="E57" t="str">
        <f t="shared" si="2"/>
        <v>public static float MaxAvaterTime;</v>
      </c>
      <c r="G57">
        <v>30</v>
      </c>
    </row>
    <row r="58" spans="1:7" x14ac:dyDescent="0.25">
      <c r="A58" t="s">
        <v>199</v>
      </c>
      <c r="B58" s="4" t="s">
        <v>200</v>
      </c>
      <c r="C58">
        <v>0</v>
      </c>
      <c r="E58" t="str">
        <f t="shared" si="2"/>
        <v>public static float AvatarPotionBuff;</v>
      </c>
      <c r="G58">
        <v>0</v>
      </c>
    </row>
    <row r="59" spans="1:7" x14ac:dyDescent="0.25">
      <c r="A59" t="s">
        <v>116</v>
      </c>
      <c r="B59" t="s">
        <v>207</v>
      </c>
      <c r="C59">
        <v>0</v>
      </c>
      <c r="E59" t="str">
        <f t="shared" si="2"/>
        <v>public static float SkillTimeBuff;</v>
      </c>
      <c r="G59">
        <v>0</v>
      </c>
    </row>
    <row r="60" spans="1:7" x14ac:dyDescent="0.25">
      <c r="A60" t="s">
        <v>117</v>
      </c>
      <c r="B60" t="s">
        <v>205</v>
      </c>
      <c r="C60">
        <v>0</v>
      </c>
      <c r="E60" t="str">
        <f t="shared" si="2"/>
        <v>public static float SkillDrop;</v>
      </c>
      <c r="G60">
        <v>0</v>
      </c>
    </row>
    <row r="61" spans="1:7" x14ac:dyDescent="0.25">
      <c r="A61" t="s">
        <v>118</v>
      </c>
      <c r="B61" s="4" t="s">
        <v>202</v>
      </c>
      <c r="C61">
        <v>0</v>
      </c>
      <c r="E61" t="str">
        <f t="shared" si="2"/>
        <v>public static float EquipDrop;</v>
      </c>
      <c r="G61">
        <v>0</v>
      </c>
    </row>
    <row r="62" spans="1:7" x14ac:dyDescent="0.25">
      <c r="A62" t="s">
        <v>208</v>
      </c>
      <c r="B62" s="4" t="s">
        <v>204</v>
      </c>
      <c r="C62">
        <v>0</v>
      </c>
      <c r="E62" t="str">
        <f t="shared" si="2"/>
        <v>public static float GoldDrop;</v>
      </c>
      <c r="G62">
        <v>0</v>
      </c>
    </row>
    <row r="63" spans="1:7" x14ac:dyDescent="0.25">
      <c r="A63" t="s">
        <v>119</v>
      </c>
      <c r="B63" s="4" t="s">
        <v>209</v>
      </c>
      <c r="C63">
        <v>0</v>
      </c>
      <c r="E63" t="str">
        <f t="shared" si="2"/>
        <v>public static float BloodThirsty;</v>
      </c>
      <c r="G63">
        <v>0</v>
      </c>
    </row>
    <row r="64" spans="1:7" x14ac:dyDescent="0.25">
      <c r="A64" t="s">
        <v>120</v>
      </c>
      <c r="B64" s="4" t="s">
        <v>194</v>
      </c>
      <c r="C64">
        <v>0</v>
      </c>
      <c r="E64" t="str">
        <f t="shared" si="2"/>
        <v>public static float PotionEfficiency;</v>
      </c>
      <c r="G64">
        <v>0</v>
      </c>
    </row>
    <row r="65" spans="1:7" x14ac:dyDescent="0.25">
      <c r="A65" t="s">
        <v>107</v>
      </c>
      <c r="B65" s="4" t="s">
        <v>106</v>
      </c>
      <c r="C65">
        <v>0</v>
      </c>
      <c r="E65" t="str">
        <f t="shared" si="2"/>
        <v>public static float PotionDrop;</v>
      </c>
      <c r="G65">
        <v>0</v>
      </c>
    </row>
    <row r="66" spans="1:7" x14ac:dyDescent="0.25">
      <c r="A66" t="s">
        <v>220</v>
      </c>
      <c r="B66" s="4" t="s">
        <v>219</v>
      </c>
      <c r="C66">
        <v>3</v>
      </c>
      <c r="E66" t="str">
        <f t="shared" si="2"/>
        <v>public static float RushCD;</v>
      </c>
    </row>
    <row r="67" spans="1:7" s="2" customFormat="1" x14ac:dyDescent="0.25">
      <c r="B67" s="6" t="s">
        <v>162</v>
      </c>
    </row>
    <row r="68" spans="1:7" x14ac:dyDescent="0.25">
      <c r="A68" t="s">
        <v>83</v>
      </c>
      <c r="B68" t="s">
        <v>82</v>
      </c>
      <c r="C68">
        <v>0.5</v>
      </c>
      <c r="E68" t="str">
        <f t="shared" si="2"/>
        <v>public static float FreezeMove;</v>
      </c>
      <c r="G68">
        <v>0.5</v>
      </c>
    </row>
    <row r="69" spans="1:7" x14ac:dyDescent="0.25">
      <c r="A69" t="s">
        <v>85</v>
      </c>
      <c r="B69" t="s">
        <v>87</v>
      </c>
      <c r="C69">
        <v>0.01</v>
      </c>
      <c r="E69" t="str">
        <f t="shared" si="2"/>
        <v>public static float BurnDamage;</v>
      </c>
      <c r="G69">
        <v>0.01</v>
      </c>
    </row>
    <row r="70" spans="1:7" x14ac:dyDescent="0.25">
      <c r="A70" t="s">
        <v>89</v>
      </c>
      <c r="B70" t="s">
        <v>88</v>
      </c>
      <c r="C70">
        <v>0.5</v>
      </c>
      <c r="E70" t="str">
        <f t="shared" ref="E70" si="5">"public static float "&amp;A70&amp;";"</f>
        <v>public static float BurnInterval;</v>
      </c>
      <c r="G70">
        <v>0.5</v>
      </c>
    </row>
    <row r="71" spans="1:7" x14ac:dyDescent="0.25">
      <c r="A71" t="s">
        <v>86</v>
      </c>
      <c r="B71" t="s">
        <v>84</v>
      </c>
      <c r="C71">
        <v>0.5</v>
      </c>
      <c r="E71" t="str">
        <f t="shared" si="2"/>
        <v>public static float CurseDamageReduce;</v>
      </c>
      <c r="G71">
        <v>0.5</v>
      </c>
    </row>
    <row r="72" spans="1:7" s="2" customFormat="1" x14ac:dyDescent="0.25">
      <c r="B72" s="6" t="s">
        <v>98</v>
      </c>
    </row>
    <row r="73" spans="1:7" x14ac:dyDescent="0.25">
      <c r="A73" t="s">
        <v>161</v>
      </c>
      <c r="B73" s="7" t="s">
        <v>129</v>
      </c>
      <c r="C73">
        <v>10</v>
      </c>
      <c r="E73" t="str">
        <f t="shared" ref="E73:E106" si="6">"public static int "&amp;A73&amp;";"</f>
        <v>public static int PotionInterval;</v>
      </c>
      <c r="G73">
        <v>10</v>
      </c>
    </row>
    <row r="74" spans="1:7" x14ac:dyDescent="0.25">
      <c r="A74" t="s">
        <v>131</v>
      </c>
      <c r="B74" s="7" t="s">
        <v>130</v>
      </c>
      <c r="C74">
        <v>0.5</v>
      </c>
      <c r="E74" t="str">
        <f>"public static float "&amp;A74&amp;";"</f>
        <v>public static float PotionProportion;</v>
      </c>
      <c r="G74">
        <v>0.5</v>
      </c>
    </row>
    <row r="75" spans="1:7" x14ac:dyDescent="0.25">
      <c r="A75" t="s">
        <v>132</v>
      </c>
      <c r="B75" s="7" t="s">
        <v>80</v>
      </c>
      <c r="C75">
        <v>3</v>
      </c>
      <c r="E75" t="str">
        <f t="shared" si="6"/>
        <v>public static int EnemyFirstHalfInterval;</v>
      </c>
      <c r="G75">
        <v>1.5</v>
      </c>
    </row>
    <row r="76" spans="1:7" x14ac:dyDescent="0.25">
      <c r="A76" t="s">
        <v>133</v>
      </c>
      <c r="B76" s="7" t="s">
        <v>81</v>
      </c>
      <c r="C76">
        <v>2</v>
      </c>
      <c r="E76" t="str">
        <f>"public static float "&amp;A76&amp;";"</f>
        <v>public static float EnemySecondHalfInterval;</v>
      </c>
      <c r="G76">
        <v>1</v>
      </c>
    </row>
    <row r="77" spans="1:7" x14ac:dyDescent="0.25">
      <c r="A77" t="s">
        <v>134</v>
      </c>
      <c r="B77" s="7" t="s">
        <v>125</v>
      </c>
      <c r="C77">
        <v>1</v>
      </c>
      <c r="E77" t="str">
        <f t="shared" si="6"/>
        <v>public static int EnemyFirstHalfMinCount;</v>
      </c>
      <c r="G77">
        <v>3</v>
      </c>
    </row>
    <row r="78" spans="1:7" x14ac:dyDescent="0.25">
      <c r="A78" t="s">
        <v>136</v>
      </c>
      <c r="B78" s="7" t="s">
        <v>124</v>
      </c>
      <c r="C78">
        <v>2</v>
      </c>
      <c r="E78" t="str">
        <f t="shared" si="6"/>
        <v>public static int EnemyFirstHalfMaxCount;</v>
      </c>
      <c r="G78">
        <v>5</v>
      </c>
    </row>
    <row r="79" spans="1:7" x14ac:dyDescent="0.25">
      <c r="A79" t="s">
        <v>135</v>
      </c>
      <c r="B79" s="7" t="s">
        <v>126</v>
      </c>
      <c r="C79">
        <v>1</v>
      </c>
      <c r="E79" t="str">
        <f t="shared" si="6"/>
        <v>public static int EnemySecondHalfMinCount;</v>
      </c>
      <c r="G79">
        <v>5</v>
      </c>
    </row>
    <row r="80" spans="1:7" x14ac:dyDescent="0.25">
      <c r="A80" t="s">
        <v>137</v>
      </c>
      <c r="B80" s="7" t="s">
        <v>127</v>
      </c>
      <c r="C80">
        <v>3</v>
      </c>
      <c r="E80" t="str">
        <f t="shared" si="6"/>
        <v>public static int EnemySecondHalfMaxCount;</v>
      </c>
      <c r="G80">
        <v>6</v>
      </c>
    </row>
    <row r="81" spans="1:9" x14ac:dyDescent="0.25">
      <c r="A81" t="s">
        <v>138</v>
      </c>
      <c r="B81" s="7" t="s">
        <v>128</v>
      </c>
      <c r="C81">
        <v>1</v>
      </c>
      <c r="E81" t="str">
        <f t="shared" si="6"/>
        <v>public static int EnemySpawnInterval;</v>
      </c>
      <c r="G81">
        <v>0.2</v>
      </c>
    </row>
    <row r="82" spans="1:9" x14ac:dyDescent="0.25">
      <c r="A82" t="s">
        <v>139</v>
      </c>
      <c r="B82" s="7" t="s">
        <v>121</v>
      </c>
      <c r="C82">
        <v>10</v>
      </c>
      <c r="E82" t="str">
        <f t="shared" si="6"/>
        <v>public static int FloorPassGold;</v>
      </c>
      <c r="G82">
        <v>100</v>
      </c>
    </row>
    <row r="83" spans="1:9" x14ac:dyDescent="0.25">
      <c r="A83" t="s">
        <v>140</v>
      </c>
      <c r="B83" s="7" t="s">
        <v>122</v>
      </c>
      <c r="C83">
        <v>30</v>
      </c>
      <c r="E83" t="str">
        <f t="shared" si="6"/>
        <v>public static int NewFloorPassGold;</v>
      </c>
      <c r="G83">
        <v>300</v>
      </c>
    </row>
    <row r="84" spans="1:9" x14ac:dyDescent="0.25">
      <c r="A84" t="s">
        <v>142</v>
      </c>
      <c r="B84" s="7" t="s">
        <v>123</v>
      </c>
      <c r="C84">
        <v>0.2</v>
      </c>
      <c r="E84" t="str">
        <f>"public static float "&amp;A84&amp;";"</f>
        <v>public static float BossEmeraldProportion;</v>
      </c>
      <c r="G84">
        <v>0.2</v>
      </c>
    </row>
    <row r="85" spans="1:9" x14ac:dyDescent="0.25">
      <c r="A85" t="s">
        <v>141</v>
      </c>
      <c r="B85" s="7" t="s">
        <v>174</v>
      </c>
      <c r="C85">
        <v>2</v>
      </c>
      <c r="E85" t="str">
        <f t="shared" si="6"/>
        <v>public static int BossEmerald;</v>
      </c>
      <c r="G85">
        <v>2</v>
      </c>
    </row>
    <row r="86" spans="1:9" x14ac:dyDescent="0.25">
      <c r="A86" t="s">
        <v>143</v>
      </c>
      <c r="B86" s="7" t="s">
        <v>175</v>
      </c>
      <c r="C86">
        <v>10</v>
      </c>
      <c r="E86" t="str">
        <f t="shared" si="6"/>
        <v>public static int NewBossEmerald;</v>
      </c>
      <c r="G86">
        <v>10</v>
      </c>
    </row>
    <row r="87" spans="1:9" x14ac:dyDescent="0.25">
      <c r="A87" t="s">
        <v>144</v>
      </c>
      <c r="B87" s="7" t="s">
        <v>173</v>
      </c>
      <c r="C87">
        <v>5</v>
      </c>
      <c r="E87" t="str">
        <f t="shared" si="6"/>
        <v>public static int EnemyGold;</v>
      </c>
      <c r="G87">
        <v>5</v>
      </c>
    </row>
    <row r="88" spans="1:9" x14ac:dyDescent="0.25">
      <c r="A88" t="s">
        <v>146</v>
      </c>
      <c r="B88" s="8" t="s">
        <v>201</v>
      </c>
      <c r="C88" s="5">
        <v>80</v>
      </c>
      <c r="E88" t="str">
        <f t="shared" si="6"/>
        <v>public static int NoEquipWeight;</v>
      </c>
      <c r="G88" s="5">
        <v>80</v>
      </c>
      <c r="I88" s="9">
        <f>G88/SUM(G$88:G$93)</f>
        <v>0.8</v>
      </c>
    </row>
    <row r="89" spans="1:9" x14ac:dyDescent="0.25">
      <c r="A89" t="s">
        <v>152</v>
      </c>
      <c r="B89" s="8" t="s">
        <v>147</v>
      </c>
      <c r="C89" s="5">
        <v>8</v>
      </c>
      <c r="E89" t="str">
        <f t="shared" si="6"/>
        <v>public static int EquipQuality1Weight;</v>
      </c>
      <c r="G89" s="5">
        <v>8</v>
      </c>
      <c r="I89" s="9">
        <f t="shared" ref="I89:I93" si="7">G89/SUM(G$88:G$93)</f>
        <v>0.08</v>
      </c>
    </row>
    <row r="90" spans="1:9" x14ac:dyDescent="0.25">
      <c r="A90" t="s">
        <v>153</v>
      </c>
      <c r="B90" s="8" t="s">
        <v>148</v>
      </c>
      <c r="C90" s="5">
        <v>6</v>
      </c>
      <c r="E90" t="str">
        <f t="shared" si="6"/>
        <v>public static int EquipQuality2Weight;</v>
      </c>
      <c r="G90" s="5">
        <v>6</v>
      </c>
      <c r="I90" s="9">
        <f t="shared" si="7"/>
        <v>0.06</v>
      </c>
    </row>
    <row r="91" spans="1:9" x14ac:dyDescent="0.25">
      <c r="A91" t="s">
        <v>154</v>
      </c>
      <c r="B91" s="8" t="s">
        <v>149</v>
      </c>
      <c r="C91" s="5">
        <v>3</v>
      </c>
      <c r="E91" t="str">
        <f t="shared" si="6"/>
        <v>public static int EquipQuality3Weight;</v>
      </c>
      <c r="G91" s="5">
        <v>3</v>
      </c>
      <c r="I91" s="9">
        <f t="shared" si="7"/>
        <v>0.03</v>
      </c>
    </row>
    <row r="92" spans="1:9" x14ac:dyDescent="0.25">
      <c r="A92" t="s">
        <v>155</v>
      </c>
      <c r="B92" s="8" t="s">
        <v>150</v>
      </c>
      <c r="C92" s="5">
        <v>2</v>
      </c>
      <c r="E92" t="str">
        <f t="shared" si="6"/>
        <v>public static int EquipQuality4Weight;</v>
      </c>
      <c r="G92" s="5">
        <v>2</v>
      </c>
      <c r="I92" s="9">
        <f t="shared" si="7"/>
        <v>0.02</v>
      </c>
    </row>
    <row r="93" spans="1:9" x14ac:dyDescent="0.25">
      <c r="A93" t="s">
        <v>156</v>
      </c>
      <c r="B93" s="8" t="s">
        <v>151</v>
      </c>
      <c r="C93" s="5">
        <v>1</v>
      </c>
      <c r="E93" t="str">
        <f t="shared" si="6"/>
        <v>public static int EquipQuality5Weight;</v>
      </c>
      <c r="G93" s="5">
        <v>1</v>
      </c>
      <c r="I93" s="9">
        <f t="shared" si="7"/>
        <v>0.01</v>
      </c>
    </row>
    <row r="94" spans="1:9" x14ac:dyDescent="0.25">
      <c r="A94" t="s">
        <v>180</v>
      </c>
      <c r="B94" s="8" t="s">
        <v>177</v>
      </c>
      <c r="C94" s="5">
        <v>1</v>
      </c>
      <c r="E94" t="str">
        <f t="shared" si="6"/>
        <v>public static int DropWeaponWeight;</v>
      </c>
      <c r="G94" s="5">
        <v>1</v>
      </c>
    </row>
    <row r="95" spans="1:9" x14ac:dyDescent="0.25">
      <c r="A95" t="s">
        <v>181</v>
      </c>
      <c r="B95" s="8" t="s">
        <v>179</v>
      </c>
      <c r="C95" s="5">
        <v>1</v>
      </c>
      <c r="E95" t="str">
        <f t="shared" si="6"/>
        <v>public static int DropArmorWeight;</v>
      </c>
      <c r="G95" s="5">
        <v>1</v>
      </c>
    </row>
    <row r="96" spans="1:9" x14ac:dyDescent="0.25">
      <c r="A96" t="s">
        <v>182</v>
      </c>
      <c r="B96" s="8" t="s">
        <v>178</v>
      </c>
      <c r="C96" s="5">
        <v>2</v>
      </c>
      <c r="E96" t="str">
        <f t="shared" si="6"/>
        <v>public static int DropAccessoryWeight;</v>
      </c>
      <c r="G96" s="5">
        <v>2</v>
      </c>
    </row>
    <row r="97" spans="1:7" x14ac:dyDescent="0.25">
      <c r="A97" t="s">
        <v>171</v>
      </c>
      <c r="B97" s="8" t="s">
        <v>172</v>
      </c>
      <c r="C97" s="5">
        <v>0.05</v>
      </c>
      <c r="E97" t="str">
        <f>"public static float "&amp;A97&amp;";"</f>
        <v>public static float EnemyDropPotionProportion;</v>
      </c>
      <c r="G97" s="5">
        <v>0.05</v>
      </c>
    </row>
    <row r="98" spans="1:7" x14ac:dyDescent="0.25">
      <c r="A98" t="s">
        <v>157</v>
      </c>
      <c r="B98" s="8" t="s">
        <v>145</v>
      </c>
      <c r="C98" s="5">
        <v>0.2</v>
      </c>
      <c r="E98" t="str">
        <f>"public static float "&amp;A98&amp;";"</f>
        <v>public static float EnemyDropGoldProportion;</v>
      </c>
      <c r="G98" s="5">
        <v>0.2</v>
      </c>
    </row>
    <row r="99" spans="1:7" x14ac:dyDescent="0.25">
      <c r="A99" t="s">
        <v>158</v>
      </c>
      <c r="B99" s="8" t="s">
        <v>176</v>
      </c>
      <c r="C99" s="5">
        <v>1</v>
      </c>
      <c r="E99" t="str">
        <f t="shared" si="6"/>
        <v>public static int EnemyDropGold;</v>
      </c>
      <c r="G99" s="5">
        <v>1</v>
      </c>
    </row>
    <row r="100" spans="1:7" x14ac:dyDescent="0.25">
      <c r="A100" t="s">
        <v>159</v>
      </c>
      <c r="B100" s="8" t="s">
        <v>160</v>
      </c>
      <c r="C100" s="5">
        <v>0.3</v>
      </c>
      <c r="E100" t="str">
        <f>"public static float "&amp;A100&amp;";"</f>
        <v>public static float EnemyDropGoldOffset;</v>
      </c>
      <c r="G100" s="5">
        <v>0.3</v>
      </c>
    </row>
    <row r="101" spans="1:7" x14ac:dyDescent="0.25">
      <c r="A101" t="s">
        <v>215</v>
      </c>
      <c r="B101" s="8" t="s">
        <v>164</v>
      </c>
      <c r="C101" s="5">
        <v>3</v>
      </c>
      <c r="E101" t="str">
        <f t="shared" si="6"/>
        <v>public static int MaxEnemy;</v>
      </c>
      <c r="G101" s="5">
        <v>7</v>
      </c>
    </row>
    <row r="102" spans="1:7" x14ac:dyDescent="0.25">
      <c r="A102" t="s">
        <v>168</v>
      </c>
      <c r="B102" s="8" t="s">
        <v>165</v>
      </c>
      <c r="C102" s="5">
        <v>1</v>
      </c>
      <c r="E102" t="str">
        <f t="shared" si="6"/>
        <v>public static int MaxLoot;</v>
      </c>
      <c r="G102" s="5">
        <v>1</v>
      </c>
    </row>
    <row r="103" spans="1:7" x14ac:dyDescent="0.25">
      <c r="A103" t="s">
        <v>211</v>
      </c>
      <c r="B103" s="8" t="s">
        <v>213</v>
      </c>
      <c r="C103" s="5">
        <v>0</v>
      </c>
      <c r="E103" t="str">
        <f t="shared" ref="E103:E104" si="8">"public static int "&amp;A103&amp;";"</f>
        <v>public static int MaxForeEnemy;</v>
      </c>
      <c r="G103" s="5">
        <v>3</v>
      </c>
    </row>
    <row r="104" spans="1:7" x14ac:dyDescent="0.25">
      <c r="A104" t="s">
        <v>212</v>
      </c>
      <c r="B104" s="8" t="s">
        <v>214</v>
      </c>
      <c r="C104" s="5">
        <v>0</v>
      </c>
      <c r="E104" t="str">
        <f t="shared" si="8"/>
        <v>public static int MaxBackEnemy;</v>
      </c>
      <c r="G104" s="5">
        <v>3</v>
      </c>
    </row>
    <row r="105" spans="1:7" x14ac:dyDescent="0.25">
      <c r="A105" t="s">
        <v>169</v>
      </c>
      <c r="B105" s="8" t="s">
        <v>166</v>
      </c>
      <c r="C105" s="5">
        <v>20</v>
      </c>
      <c r="E105" t="str">
        <f t="shared" si="6"/>
        <v>public static int FloorPlate;</v>
      </c>
      <c r="G105" s="5">
        <v>10</v>
      </c>
    </row>
    <row r="106" spans="1:7" x14ac:dyDescent="0.25">
      <c r="A106" t="s">
        <v>170</v>
      </c>
      <c r="B106" s="8" t="s">
        <v>167</v>
      </c>
      <c r="C106" s="5">
        <v>1</v>
      </c>
      <c r="E106" t="str">
        <f t="shared" si="6"/>
        <v>public static int BossDebutPlate;</v>
      </c>
      <c r="G106" s="5">
        <v>1</v>
      </c>
    </row>
    <row r="107" spans="1:7" x14ac:dyDescent="0.25">
      <c r="A107" t="s">
        <v>221</v>
      </c>
      <c r="B107" s="8" t="s">
        <v>222</v>
      </c>
      <c r="C107" s="5">
        <v>0.2</v>
      </c>
      <c r="E107" t="str">
        <f>"public static float "&amp;A107&amp;";"</f>
        <v>public static float EnemyHPGrow;</v>
      </c>
      <c r="G107" s="5"/>
    </row>
    <row r="108" spans="1:7" x14ac:dyDescent="0.25">
      <c r="A108" t="s">
        <v>223</v>
      </c>
      <c r="B108" s="8" t="s">
        <v>224</v>
      </c>
      <c r="C108" s="5">
        <v>0.2</v>
      </c>
      <c r="E108" t="str">
        <f>"public static float "&amp;A108&amp;";"</f>
        <v>public static float EnemyDMGGrow;</v>
      </c>
      <c r="G108" s="5"/>
    </row>
    <row r="109" spans="1:7" x14ac:dyDescent="0.25">
      <c r="A109" t="s">
        <v>225</v>
      </c>
      <c r="B109" s="8" t="s">
        <v>230</v>
      </c>
      <c r="C109" s="5">
        <v>0.5</v>
      </c>
      <c r="E109" t="str">
        <f>"public static float "&amp;A109&amp;";"</f>
        <v>public static float BossHPGrow;</v>
      </c>
      <c r="G109" s="5"/>
    </row>
    <row r="110" spans="1:7" x14ac:dyDescent="0.25">
      <c r="A110" t="s">
        <v>226</v>
      </c>
      <c r="B110" s="8" t="s">
        <v>231</v>
      </c>
      <c r="C110" s="5">
        <v>0.4</v>
      </c>
      <c r="E110" t="str">
        <f>"public static float "&amp;A110&amp;";"</f>
        <v>public static float BossDMGGrow;</v>
      </c>
      <c r="G110" s="5"/>
    </row>
    <row r="111" spans="1:7" x14ac:dyDescent="0.25">
      <c r="A111" s="3" t="s">
        <v>3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7"/>
  <sheetViews>
    <sheetView workbookViewId="0">
      <selection activeCell="A35" sqref="A35"/>
    </sheetView>
  </sheetViews>
  <sheetFormatPr defaultRowHeight="16.5" x14ac:dyDescent="0.25"/>
  <cols>
    <col min="1" max="1" width="15.75" customWidth="1"/>
    <col min="3" max="3" width="11.375" customWidth="1"/>
  </cols>
  <sheetData>
    <row r="1" spans="1:2" s="2" customFormat="1" x14ac:dyDescent="0.25">
      <c r="A1" s="2" t="s">
        <v>18</v>
      </c>
      <c r="B1" s="2" t="s">
        <v>17</v>
      </c>
    </row>
    <row r="2" spans="1:2" x14ac:dyDescent="0.25">
      <c r="A2" t="s">
        <v>11</v>
      </c>
      <c r="B2" t="s">
        <v>8</v>
      </c>
    </row>
    <row r="3" spans="1:2" x14ac:dyDescent="0.25">
      <c r="A3" t="s">
        <v>12</v>
      </c>
      <c r="B3" t="s">
        <v>9</v>
      </c>
    </row>
    <row r="4" spans="1:2" x14ac:dyDescent="0.25">
      <c r="A4" t="s">
        <v>13</v>
      </c>
      <c r="B4" t="s">
        <v>4</v>
      </c>
    </row>
    <row r="5" spans="1:2" x14ac:dyDescent="0.25">
      <c r="A5" t="s">
        <v>14</v>
      </c>
      <c r="B5" t="s">
        <v>5</v>
      </c>
    </row>
    <row r="6" spans="1:2" x14ac:dyDescent="0.25">
      <c r="A6" t="s">
        <v>15</v>
      </c>
      <c r="B6" t="s">
        <v>6</v>
      </c>
    </row>
    <row r="7" spans="1:2" x14ac:dyDescent="0.25">
      <c r="A7" t="s">
        <v>16</v>
      </c>
      <c r="B7" t="s">
        <v>10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2</vt:i4>
      </vt:variant>
      <vt:variant>
        <vt:lpstr>已命名的範圍</vt:lpstr>
      </vt:variant>
      <vt:variant>
        <vt:i4>2</vt:i4>
      </vt:variant>
    </vt:vector>
  </HeadingPairs>
  <TitlesOfParts>
    <vt:vector size="4" baseType="lpstr">
      <vt:lpstr>GameSetting</vt:lpstr>
      <vt:lpstr>Ref</vt:lpstr>
      <vt:lpstr>TargetType</vt:lpstr>
      <vt:lpstr>TriggerType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Scozirge</dc:creator>
  <cp:lastModifiedBy>scozirge</cp:lastModifiedBy>
  <dcterms:created xsi:type="dcterms:W3CDTF">2006-09-16T00:00:00Z</dcterms:created>
  <dcterms:modified xsi:type="dcterms:W3CDTF">2018-11-15T02:26:22Z</dcterms:modified>
</cp:coreProperties>
</file>