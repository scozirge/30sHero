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<sst xmlns="http://schemas.openxmlformats.org/spreadsheetml/2006/main" count="252" uniqueCount="249">
  <si>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</si>
  <si>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</si>
  <si>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</si>
  <si>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</si>
  <si>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</si>
  <si>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</si>
  <si>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</si>
  <si>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</si>
  <si>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</si>
  <si>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</si>
  <si>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</si>
  <si>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</si>
  <si>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</si>
  <si>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</si>
  <si>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</si>
  <si>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</si>
  <si>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</si>
  <si>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</si>
  <si>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</si>
  <si>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</si>
  <si>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</si>
  <si>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</si>
  <si>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</si>
  <si>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</si>
  <si>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</si>
  <si>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</si>
  <si>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</si>
  <si>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</si>
  <si>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</si>
  <si>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</si>
  <si>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</si>
  <si>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</si>
  <si>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</si>
  <si>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</si>
  <si>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</si>
  <si>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</si>
  <si>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</si>
  <si>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</si>
  <si>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</si>
  <si>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</si>
  <si>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</si>
  <si>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</si>
  <si>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</si>
  <si>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</si>
  <si>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</si>
  <si>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</si>
  <si>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</si>
  <si>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</si>
  <si>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</si>
  <si>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</si>
  <si>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</si>
  <si>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</si>
  <si>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</si>
  <si>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</si>
  <si>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</si>
  <si>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</si>
  <si>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</si>
  <si>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</si>
  <si>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</si>
  <si>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</si>
  <si>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</si>
  <si>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</si>
  <si>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</si>
  <si>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</si>
  <si>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</si>
  <si>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</si>
  <si>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</si>
  <si>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</si>
  <si>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</si>
  <si>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</si>
  <si>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</si>
  <si>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</si>
  <si>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</si>
  <si>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</si>
  <si>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</si>
  <si>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</si>
  <si>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</si>
  <si>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</si>
  <si>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</si>
  <si>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</si>
  <si>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</si>
  <si>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</si>
  <si>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</si>
  <si>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</si>
  <si>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</si>
  <si>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</si>
  <si>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</si>
  <si>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</si>
  <si>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</si>
  <si>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</si>
  <si>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</si>
  <si>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</si>
  <si>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</si>
  <si>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</si>
  <si>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</si>
  <si>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</si>
  <si>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</si>
  <si>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</si>
  <si>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</si>
  <si>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</si>
  <si>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</si>
  <si>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</si>
  <si>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</si>
  <si>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</si>
  <si>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</si>
  <si>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</si>
  <si>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</si>
  <si>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</si>
  <si>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</si>
  <si>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</si>
  <si>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</si>
  <si>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</si>
  <si>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</si>
  <si>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</si>
  <si>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</si>
  <si>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</si>
  <si>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</si>
  <si>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</si>
  <si>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</si>
  <si>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</si>
  <si>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</si>
  <si>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</si>
  <si>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</si>
  <si>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</si>
  <si>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</si>
  <si>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</si>
  <si>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</si>
  <si>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</si>
  <si>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</si>
  <si>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</si>
  <si>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</si>
  <si>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</si>
  <si>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</si>
  <si>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</si>
  <si>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</si>
  <si>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</si>
  <si>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</si>
  <si>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</si>
  <si>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</si>
  <si>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</si>
  <si>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</si>
  <si>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</si>
  <si>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</si>
  <si>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</si>
  <si>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</si>
  <si>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</si>
  <si>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</si>
  <si>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</si>
  <si>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</si>
  <si>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</si>
  <si>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</si>
  <si>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</si>
  <si>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</si>
  <si>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</si>
  <si>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</si>
  <si>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</si>
  <si>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</si>
  <si>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</si>
  <si>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</si>
  <si>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</si>
  <si>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</si>
  <si>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</si>
  <si>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</si>
  <si>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</si>
  <si>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</si>
  <si>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</si>
  <si>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</si>
  <si>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</si>
  <si>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</si>
  <si>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</si>
  <si>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</si>
  <si>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</si>
  <si>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</si>
  <si>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</si>
  <si>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</si>
  <si>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</si>
  <si>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</si>
  <si>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</si>
  <si>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</si>
  <si>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</si>
  <si>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</si>
  <si>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</si>
  <si>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</si>
  <si>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</si>
  <si>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</si>
  <si>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</si>
  <si>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</si>
  <si>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</si>
  <si>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</si>
  <si>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</si>
  <si>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</si>
  <si>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</si>
  <si>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</si>
  <si>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</si>
  <si>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</si>
  <si>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</si>
  <si>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</si>
  <si>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</si>
  <si>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</si>
  <si>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</si>
  <si>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</si>
  <si>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</si>
  <si>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</si>
  <si>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</si>
  <si>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</si>
  <si>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</si>
  <si>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</si>
  <si>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</si>
  <si>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</si>
  <si>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</si>
  <si>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</si>
  <si>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</si>
  <si>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</si>
  <si>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</si>
  <si>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</si>
  <si>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</si>
  <si>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</si>
  <si>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</si>
  <si>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</si>
  <si>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</si>
  <si>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</si>
  <si>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</si>
  <si>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</si>
  <si>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</si>
  <si>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</si>
  <si>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</si>
  <si>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</si>
  <si>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</si>
  <si>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</si>
  <si>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</si>
  <si>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</si>
  <si>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</si>
  <si>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</si>
  <si>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</si>
  <si>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</si>
  <si>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</si>
  <si>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</si>
  <si>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</si>
  <si>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</si>
  <si>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</si>
  <si>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</si>
  <si>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</si>
  <si>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</si>
  <si>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</si>
  <si>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SkillAmmoDamage</t>
    <phoneticPr fontId="1" type="noConversion"/>
  </si>
  <si>
    <t>BOSS擊敗掉落寶石</t>
    <phoneticPr fontId="1" type="noConversion"/>
  </si>
  <si>
    <t>新BOSS擊敗寶石(加上樓層數)</t>
    <phoneticPr fontId="1" type="noConversion"/>
  </si>
  <si>
    <t>NewBossEmerald</t>
    <phoneticPr fontId="1" type="noConversion"/>
  </si>
  <si>
    <t>FloorPassGold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</si>
</sst>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6"/>
  <sheetViews>
    <sheetView tabSelected="1" workbookViewId="0">
      <pane xSplit="2" ySplit="2" topLeftCell="C74" activePane="bottomRight" state="frozen"/>
      <selection pane="topRight" activeCell="C1" sqref="C1"/>
      <selection pane="bottomLeft" activeCell="A3" sqref="A3"/>
      <selection pane="bottomRight" activeCell="B85" sqref="B85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214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235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236</v>
      </c>
      <c r="B20" t="s">
        <v>179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180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181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175</v>
      </c>
      <c r="B23" t="s">
        <v>178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174</v>
      </c>
      <c r="B24" t="s">
        <v>176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173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185</v>
      </c>
      <c r="B28" t="s">
        <v>183</v>
      </c>
      <c r="C28">
        <v>3</v>
      </c>
      <c r="E28" t="str">
        <f t="shared" si="0"/>
        <v>public static float RandomAvatarTime;</v>
      </c>
    </row>
    <row r="29" spans="1:5" x14ac:dyDescent="0.25">
      <c r="A29" t="s">
        <v>186</v>
      </c>
      <c r="B29" t="s">
        <v>184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193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192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226</v>
      </c>
      <c r="B32" t="s">
        <v>190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223</v>
      </c>
      <c r="B33" t="s">
        <v>225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227</v>
      </c>
      <c r="B34" t="s">
        <v>197</v>
      </c>
      <c r="C34">
        <v>0.1</v>
      </c>
      <c r="E34" t="str">
        <f t="shared" si="0"/>
        <v>public static float RandomBloodThirsty;</v>
      </c>
    </row>
    <row r="35" spans="1:7" x14ac:dyDescent="0.25">
      <c r="A35" t="s">
        <v>228</v>
      </c>
      <c r="B35" t="s">
        <v>224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205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203</v>
      </c>
      <c r="B45" t="s">
        <v>204</v>
      </c>
      <c r="C45" t="s">
        <v>219</v>
      </c>
      <c r="E45" t="str">
        <f t="shared" si="3"/>
        <v>public static float SoulPath;</v>
      </c>
    </row>
    <row r="46" spans="1:7" x14ac:dyDescent="0.25">
      <c r="A46" t="s">
        <v>222</v>
      </c>
      <c r="B46" t="s">
        <v>221</v>
      </c>
      <c r="C46" t="s">
        <v>220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154</v>
      </c>
    </row>
    <row r="48" spans="1:7" x14ac:dyDescent="0.25">
      <c r="A48" t="s">
        <v>171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215</v>
      </c>
      <c r="C49">
        <v>20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216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177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172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187</v>
      </c>
      <c r="B58" s="4" t="s">
        <v>188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194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192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190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195</v>
      </c>
      <c r="B62" s="4" t="s">
        <v>191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196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182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207</v>
      </c>
      <c r="B66" s="4" t="s">
        <v>206</v>
      </c>
      <c r="C66">
        <v>2.5</v>
      </c>
      <c r="E66" t="str">
        <f t="shared" si="2"/>
        <v>public static float RushCD;</v>
      </c>
    </row>
    <row r="67" spans="1:7" x14ac:dyDescent="0.25">
      <c r="A67" t="s">
        <v>242</v>
      </c>
      <c r="B67" s="4" t="s">
        <v>229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231</v>
      </c>
      <c r="B68" s="4" t="s">
        <v>230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244</v>
      </c>
      <c r="B69" s="4" t="s">
        <v>243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153</v>
      </c>
    </row>
    <row r="71" spans="1:7" x14ac:dyDescent="0.25">
      <c r="A71" t="s">
        <v>79</v>
      </c>
      <c r="B71" t="s">
        <v>78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81</v>
      </c>
      <c r="B72" t="s">
        <v>83</v>
      </c>
      <c r="C72">
        <v>1.4999999999999999E-2</v>
      </c>
      <c r="E72" t="str">
        <f t="shared" si="2"/>
        <v>public static float BurnDamage;</v>
      </c>
      <c r="G72">
        <v>0.01</v>
      </c>
    </row>
    <row r="73" spans="1:7" x14ac:dyDescent="0.25">
      <c r="A73" t="s">
        <v>85</v>
      </c>
      <c r="B73" t="s">
        <v>84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82</v>
      </c>
      <c r="B74" t="s">
        <v>80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94</v>
      </c>
    </row>
    <row r="76" spans="1:7" x14ac:dyDescent="0.25">
      <c r="A76" t="s">
        <v>152</v>
      </c>
      <c r="B76" s="7" t="s">
        <v>123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125</v>
      </c>
      <c r="B77" s="7" t="s">
        <v>124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126</v>
      </c>
      <c r="B78" s="7" t="s">
        <v>76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127</v>
      </c>
      <c r="B79" s="7" t="s">
        <v>77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128</v>
      </c>
      <c r="B80" s="7" t="s">
        <v>119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130</v>
      </c>
      <c r="B81" s="7" t="s">
        <v>118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129</v>
      </c>
      <c r="B82" s="7" t="s">
        <v>120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131</v>
      </c>
      <c r="B83" s="7" t="s">
        <v>121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132</v>
      </c>
      <c r="B84" s="7" t="s">
        <v>122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248</v>
      </c>
      <c r="B85" s="7" t="s">
        <v>232</v>
      </c>
      <c r="C85">
        <v>20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234</v>
      </c>
      <c r="B86" s="7" t="s">
        <v>233</v>
      </c>
      <c r="C86">
        <v>50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134</v>
      </c>
      <c r="B87" s="7" t="s">
        <v>117</v>
      </c>
      <c r="C87">
        <v>1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133</v>
      </c>
      <c r="B88" s="7" t="s">
        <v>245</v>
      </c>
      <c r="C88">
        <v>1</v>
      </c>
      <c r="E88" t="str">
        <f t="shared" si="6"/>
        <v>public static int BossEmerald;</v>
      </c>
      <c r="G88">
        <v>2</v>
      </c>
    </row>
    <row r="89" spans="1:9" x14ac:dyDescent="0.25">
      <c r="A89" t="s">
        <v>247</v>
      </c>
      <c r="B89" s="7" t="s">
        <v>246</v>
      </c>
      <c r="C89">
        <v>5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135</v>
      </c>
      <c r="B90" s="7" t="s">
        <v>163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137</v>
      </c>
      <c r="B91" s="8" t="s">
        <v>189</v>
      </c>
      <c r="C91" s="5">
        <v>950</v>
      </c>
      <c r="E91" t="str">
        <f t="shared" si="6"/>
        <v>public static int NoEquipWeight;</v>
      </c>
      <c r="G91" s="5">
        <v>80</v>
      </c>
      <c r="I91" s="9">
        <f>G91/SUM(G$91:G$96)</f>
        <v>0.8</v>
      </c>
    </row>
    <row r="92" spans="1:9" x14ac:dyDescent="0.25">
      <c r="A92" t="s">
        <v>143</v>
      </c>
      <c r="B92" s="8" t="s">
        <v>138</v>
      </c>
      <c r="C92" s="5">
        <v>20</v>
      </c>
      <c r="E92" t="str">
        <f t="shared" si="6"/>
        <v>public static int EquipQuality1Weight;</v>
      </c>
      <c r="G92" s="5">
        <v>8</v>
      </c>
      <c r="I92" s="9">
        <f t="shared" ref="I92:I96" si="7">G92/SUM(G$91:G$96)</f>
        <v>0.08</v>
      </c>
    </row>
    <row r="93" spans="1:9" x14ac:dyDescent="0.25">
      <c r="A93" t="s">
        <v>144</v>
      </c>
      <c r="B93" s="8" t="s">
        <v>139</v>
      </c>
      <c r="C93" s="5">
        <v>15</v>
      </c>
      <c r="E93" t="str">
        <f t="shared" si="6"/>
        <v>public static int EquipQuality2Weight;</v>
      </c>
      <c r="G93" s="5">
        <v>6</v>
      </c>
      <c r="I93" s="9">
        <f t="shared" si="7"/>
        <v>0.06</v>
      </c>
    </row>
    <row r="94" spans="1:9" x14ac:dyDescent="0.25">
      <c r="A94" t="s">
        <v>145</v>
      </c>
      <c r="B94" s="8" t="s">
        <v>140</v>
      </c>
      <c r="C94" s="5">
        <v>10</v>
      </c>
      <c r="E94" t="str">
        <f t="shared" si="6"/>
        <v>public static int EquipQuality3Weight;</v>
      </c>
      <c r="G94" s="5">
        <v>3</v>
      </c>
      <c r="I94" s="9">
        <f t="shared" si="7"/>
        <v>0.03</v>
      </c>
    </row>
    <row r="95" spans="1:9" x14ac:dyDescent="0.25">
      <c r="A95" t="s">
        <v>146</v>
      </c>
      <c r="B95" s="8" t="s">
        <v>141</v>
      </c>
      <c r="C95" s="5">
        <v>3</v>
      </c>
      <c r="E95" t="str">
        <f t="shared" si="6"/>
        <v>public static int EquipQuality4Weight;</v>
      </c>
      <c r="G95" s="5">
        <v>2</v>
      </c>
      <c r="I95" s="9">
        <f t="shared" si="7"/>
        <v>0.02</v>
      </c>
    </row>
    <row r="96" spans="1:9" x14ac:dyDescent="0.25">
      <c r="A96" t="s">
        <v>147</v>
      </c>
      <c r="B96" s="8" t="s">
        <v>142</v>
      </c>
      <c r="C96" s="5">
        <v>2</v>
      </c>
      <c r="E96" t="str">
        <f t="shared" si="6"/>
        <v>public static int EquipQuality5Weight;</v>
      </c>
      <c r="G96" s="5">
        <v>1</v>
      </c>
      <c r="I96" s="9">
        <f t="shared" si="7"/>
        <v>0.01</v>
      </c>
    </row>
    <row r="97" spans="1:7" x14ac:dyDescent="0.25">
      <c r="A97" t="s">
        <v>168</v>
      </c>
      <c r="B97" s="8" t="s">
        <v>165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169</v>
      </c>
      <c r="B98" s="8" t="s">
        <v>167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170</v>
      </c>
      <c r="B99" s="8" t="s">
        <v>166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161</v>
      </c>
      <c r="B100" s="8" t="s">
        <v>162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148</v>
      </c>
      <c r="B101" s="8" t="s">
        <v>136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149</v>
      </c>
      <c r="B102" s="8" t="s">
        <v>164</v>
      </c>
      <c r="C102" s="5">
        <v>1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150</v>
      </c>
      <c r="B103" s="8" t="s">
        <v>151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202</v>
      </c>
      <c r="B104" s="8" t="s">
        <v>155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159</v>
      </c>
      <c r="B105" s="8" t="s">
        <v>156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198</v>
      </c>
      <c r="B106" s="8" t="s">
        <v>200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199</v>
      </c>
      <c r="B107" s="8" t="s">
        <v>201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237</v>
      </c>
      <c r="B108" s="8" t="s">
        <v>157</v>
      </c>
      <c r="C108" s="5">
        <v>15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238</v>
      </c>
      <c r="B109" s="8" t="s">
        <v>239</v>
      </c>
      <c r="C109" s="5">
        <v>4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241</v>
      </c>
      <c r="B110" s="8" t="s">
        <v>240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160</v>
      </c>
      <c r="B111" s="8" t="s">
        <v>158</v>
      </c>
      <c r="C111" s="5">
        <v>5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208</v>
      </c>
      <c r="B112" s="8" t="s">
        <v>209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210</v>
      </c>
      <c r="B113" s="8" t="s">
        <v>211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212</v>
      </c>
      <c r="B114" s="8" t="s">
        <v>217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213</v>
      </c>
      <c r="B115" s="8" t="s">
        <v>218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2019-01-07T07:26:42Z</dcterms:modified>
</cp:coreProperties>
</file>