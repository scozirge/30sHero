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635" windowWidth="14805" windowHeight="6480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50" i="1" l="1"/>
  <c r="I95" i="1" l="1"/>
  <c r="I96" i="1"/>
  <c r="I97" i="1"/>
  <c r="I98" i="1"/>
  <c r="I99" i="1"/>
  <c r="I100" i="1"/>
  <c r="E69" i="1" l="1"/>
  <c r="E120" i="1" l="1"/>
  <c r="E71" i="1" l="1"/>
  <c r="F4" i="1" l="1"/>
  <c r="F8" i="1"/>
  <c r="F7" i="1"/>
  <c r="F6" i="1"/>
  <c r="F5" i="1"/>
  <c r="F3" i="1"/>
  <c r="G3" i="1" s="1"/>
  <c r="G4" i="1" l="1"/>
  <c r="G5" i="1"/>
  <c r="E73" i="1"/>
  <c r="E114" i="1" l="1"/>
  <c r="E113" i="1" l="1"/>
  <c r="E72" i="1" l="1"/>
  <c r="E70" i="1"/>
  <c r="E47" i="1" l="1"/>
  <c r="E119" i="1" l="1"/>
  <c r="E118" i="1"/>
  <c r="E117" i="1" l="1"/>
  <c r="E116" i="1"/>
  <c r="E68" i="1" l="1"/>
  <c r="E46" i="1" l="1"/>
  <c r="E111" i="1" l="1"/>
  <c r="E110" i="1"/>
  <c r="E23" i="1" l="1"/>
  <c r="E103" i="1" l="1"/>
  <c r="E102" i="1"/>
  <c r="E101" i="1"/>
  <c r="E104" i="1" l="1"/>
  <c r="E115" i="1"/>
  <c r="E112" i="1"/>
  <c r="E109" i="1"/>
  <c r="E108" i="1"/>
  <c r="E81" i="1"/>
  <c r="E107" i="1"/>
  <c r="E105" i="1"/>
  <c r="E91" i="1"/>
  <c r="E83" i="1"/>
  <c r="E106" i="1"/>
  <c r="E100" i="1"/>
  <c r="E99" i="1"/>
  <c r="E98" i="1"/>
  <c r="E97" i="1"/>
  <c r="E96" i="1"/>
  <c r="E95" i="1"/>
  <c r="E94" i="1"/>
  <c r="E93" i="1"/>
  <c r="E92" i="1"/>
  <c r="E90" i="1"/>
  <c r="E89" i="1"/>
  <c r="E88" i="1"/>
  <c r="E87" i="1"/>
  <c r="E86" i="1"/>
  <c r="E85" i="1"/>
  <c r="E84" i="1"/>
  <c r="E82" i="1"/>
  <c r="E80" i="1"/>
  <c r="E58" i="1" l="1"/>
  <c r="E56" i="1"/>
  <c r="E53" i="1"/>
  <c r="E52" i="1"/>
  <c r="E51" i="1"/>
  <c r="E49" i="1"/>
  <c r="E67" i="1"/>
  <c r="E66" i="1"/>
  <c r="E65" i="1"/>
  <c r="E64" i="1"/>
  <c r="E63" i="1"/>
  <c r="E62" i="1"/>
  <c r="E61" i="1"/>
  <c r="E60" i="1"/>
  <c r="E59" i="1"/>
  <c r="E57" i="1"/>
  <c r="E55" i="1"/>
  <c r="E54" i="1"/>
  <c r="E44" i="1" l="1"/>
  <c r="E45" i="1"/>
  <c r="E77" i="1" l="1"/>
  <c r="E78" i="1"/>
  <c r="E76" i="1"/>
  <c r="E75" i="1"/>
  <c r="E43" i="1" l="1"/>
  <c r="E42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<sst xmlns="http://schemas.openxmlformats.org/spreadsheetml/2006/main" count="270" uniqueCount="268">
  <si>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</si>
  <si>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</si>
  <si>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</si>
  <si>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</si>
  <si>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</si>
  <si>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</si>
  <si>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</si>
  <si>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</si>
  <si>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</si>
  <si>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</si>
  <si>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</si>
  <si>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</si>
  <si>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</si>
  <si>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</si>
  <si>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</si>
  <si>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</si>
  <si>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</si>
  <si>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</si>
  <si>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</si>
  <si>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</si>
  <si>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</si>
  <si>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</si>
  <si>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</si>
  <si>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</si>
  <si>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</si>
  <si>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</si>
  <si>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</si>
  <si>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</si>
  <si>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</si>
  <si>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</si>
  <si>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</si>
  <si>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</si>
  <si>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</si>
  <si>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</si>
  <si>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</si>
  <si>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</si>
  <si>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</si>
  <si>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</si>
  <si>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</si>
  <si>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</si>
  <si>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</si>
  <si>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</si>
  <si>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</si>
  <si>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</si>
  <si>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</si>
  <si>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</si>
  <si>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</si>
  <si>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</si>
  <si>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</si>
  <si>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</si>
  <si>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</si>
  <si>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</si>
  <si>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</si>
  <si>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</si>
  <si>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</si>
  <si>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</si>
  <si>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</si>
  <si>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</si>
  <si>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</si>
  <si>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</si>
  <si>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</si>
  <si>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</si>
  <si>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</si>
  <si>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</si>
  <si>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</si>
  <si>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</si>
  <si>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</si>
  <si>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</si>
  <si>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</si>
  <si>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</si>
  <si>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</si>
  <si>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</si>
  <si>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</si>
  <si>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</si>
  <si>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</si>
  <si>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</si>
  <si>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</si>
  <si>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</si>
  <si>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</si>
  <si>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</si>
  <si>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</si>
  <si>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</si>
  <si>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</si>
  <si>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</si>
  <si>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</si>
  <si>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</si>
  <si>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</si>
  <si>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</si>
  <si>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</si>
  <si>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</si>
  <si>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</si>
  <si>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</si>
  <si>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</si>
  <si>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</si>
  <si>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</si>
  <si>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</si>
  <si>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</si>
  <si>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</si>
  <si>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</si>
  <si>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</si>
  <si>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</si>
  <si>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</si>
  <si>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</si>
  <si>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</si>
  <si>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</si>
  <si>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</si>
  <si>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</si>
  <si>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</si>
  <si>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</si>
  <si>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</si>
  <si>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</si>
  <si>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</si>
  <si>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</si>
  <si>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</si>
  <si>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</si>
  <si>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</si>
  <si>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</si>
  <si>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</si>
  <si>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</si>
  <si>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</si>
  <si>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</si>
  <si>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</si>
  <si>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</si>
  <si>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</si>
  <si>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</si>
  <si>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</si>
  <si>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</si>
  <si>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</si>
  <si>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</si>
  <si>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</si>
  <si>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BossEmerald</t>
    <phoneticPr fontId="1" type="noConversion"/>
  </si>
  <si>
    <t>BossEmeraldProportion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</si>
  <si>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</si>
  <si>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</si>
  <si>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</si>
  <si>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</si>
  <si>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</si>
  <si>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</si>
  <si>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</si>
  <si>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</si>
  <si>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</si>
  <si>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</si>
  <si>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</si>
  <si>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</si>
  <si>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</si>
  <si>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</si>
  <si>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</si>
  <si>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</si>
  <si>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</si>
  <si>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</si>
  <si>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</si>
  <si>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</si>
  <si>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</si>
  <si>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</si>
  <si>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</si>
  <si>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</si>
  <si>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</si>
  <si>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</si>
  <si>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</si>
  <si>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</si>
  <si>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</si>
  <si>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</si>
  <si>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</si>
  <si>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</si>
  <si>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</si>
  <si>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</si>
  <si>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</si>
  <si>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</si>
  <si>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</si>
  <si>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</si>
  <si>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</si>
  <si>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</si>
  <si>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</si>
  <si>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</si>
  <si>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</si>
  <si>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</si>
  <si>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</si>
  <si>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</si>
  <si>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</si>
  <si>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</si>
  <si>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</si>
  <si>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</si>
  <si>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</si>
  <si>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</si>
  <si>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</si>
  <si>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</si>
  <si>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</si>
  <si>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</si>
  <si>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</si>
  <si>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</si>
  <si>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</si>
  <si>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</si>
  <si>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</si>
  <si>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</si>
  <si>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</si>
  <si>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</si>
  <si>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</si>
  <si>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</si>
  <si>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</si>
  <si>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</si>
  <si>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</si>
  <si>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</si>
  <si>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</si>
  <si>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</si>
  <si>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</si>
  <si>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</si>
  <si>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</si>
  <si>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</si>
  <si>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</si>
  <si>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</si>
  <si>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</si>
  <si>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</si>
  <si>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</si>
  <si>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</si>
  <si>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</si>
  <si>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</si>
  <si>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</si>
  <si>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</si>
  <si>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</si>
  <si>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</si>
  <si>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</si>
  <si>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</si>
  <si>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</si>
  <si>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</si>
  <si>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</si>
  <si>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</si>
  <si>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</si>
  <si>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</si>
  <si>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</si>
  <si>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</si>
  <si>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玩家獲得怪物技能的子彈傷害</t>
    <phoneticPr fontId="1" type="noConversion"/>
  </si>
  <si>
    <t>BOSS擊敗掉落寶石</t>
    <phoneticPr fontId="1" type="noConversion"/>
  </si>
  <si>
    <t>NewBossEmerald</t>
    <phoneticPr fontId="1" type="noConversion"/>
  </si>
  <si>
    <t>FloorPassGold</t>
    <phoneticPr fontId="1" type="noConversion"/>
  </si>
  <si>
    <t>RandomStrength</t>
    <phoneticPr fontId="1" type="noConversion"/>
  </si>
  <si>
    <t>新BOSS擊敗寶石</t>
    <phoneticPr fontId="1" type="noConversion"/>
  </si>
  <si>
    <t>RandomMoveDecay</t>
    <phoneticPr fontId="1" type="noConversion"/>
  </si>
  <si>
    <t>RandomSkillTime</t>
    <phoneticPr fontId="1" type="noConversion"/>
  </si>
  <si>
    <t>EnchantTextColor</t>
    <phoneticPr fontId="1" type="noConversion"/>
  </si>
  <si>
    <t>裝備附魔文字色碼</t>
    <phoneticPr fontId="1" type="noConversion"/>
  </si>
  <si>
    <t>#C500D4</t>
    <phoneticPr fontId="1" type="noConversion"/>
  </si>
  <si>
    <t>裝備等級</t>
    <phoneticPr fontId="1" type="noConversion"/>
  </si>
  <si>
    <t>力量</t>
    <phoneticPr fontId="1" type="noConversion"/>
  </si>
  <si>
    <t>生命</t>
    <phoneticPr fontId="1" type="noConversion"/>
  </si>
  <si>
    <t>護盾</t>
    <phoneticPr fontId="1" type="noConversion"/>
  </si>
  <si>
    <t>力量品階加成</t>
    <phoneticPr fontId="1" type="noConversion"/>
  </si>
  <si>
    <t>生命品階加成</t>
    <phoneticPr fontId="1" type="noConversion"/>
  </si>
  <si>
    <t>護盾品階加成</t>
    <phoneticPr fontId="1" type="noConversion"/>
  </si>
  <si>
    <t>隨機藥效加成(0.2就是所有藥效時間+0.2秒，若是回血就是補血量+20%)</t>
    <phoneticPr fontId="1" type="noConversion"/>
  </si>
  <si>
    <t>隨機吸血比例(依普攻造成傷害的百分比回復血量)</t>
    <phoneticPr fontId="1" type="noConversion"/>
  </si>
  <si>
    <t>隨機裝備掉落權重(填5裝備權重(無)的權重-50)</t>
    <phoneticPr fontId="1" type="noConversion"/>
  </si>
  <si>
    <t>SkillAmmoDamage</t>
    <phoneticPr fontId="1" type="noConversion"/>
  </si>
  <si>
    <t>SkillFaceTargetAmmoInterval</t>
    <phoneticPr fontId="1" type="noConversion"/>
  </si>
  <si>
    <t>玩家獲得怪物技能的發射間隔倍率(朝向目標發射的技能類型)</t>
    <phoneticPr fontId="1" type="noConversion"/>
  </si>
  <si>
    <t>SkillAmmoInterval</t>
    <phoneticPr fontId="1" type="noConversion"/>
  </si>
  <si>
    <t>RandomAvatarTime</t>
    <phoneticPr fontId="1" type="noConversion"/>
  </si>
  <si>
    <t>RandomGoldDrop</t>
    <phoneticPr fontId="1" type="noConversion"/>
  </si>
  <si>
    <t>金錢掉落加成(填0.1就是殺死怪物掉的金幣數+10%)</t>
    <phoneticPr fontId="1" type="noConversion"/>
  </si>
  <si>
    <t>隨機金錢掉落加成(填1就是殺死怪物掉的金幣數為裝備等級X1，填2就是裝備等級X2)</t>
    <phoneticPr fontId="1" type="noConversion"/>
  </si>
  <si>
    <t>BossSturn</t>
    <phoneticPr fontId="1" type="noConversion"/>
  </si>
  <si>
    <t>BOSS最高被暈眩時間</t>
    <phoneticPr fontId="1" type="noConversion"/>
  </si>
  <si>
    <t>RushStun</t>
    <phoneticPr fontId="1" type="noConversion"/>
  </si>
  <si>
    <t>衝刺暈眩目標秒數</t>
    <phoneticPr fontId="1" type="noConversion"/>
  </si>
  <si>
    <t>RushCD</t>
    <phoneticPr fontId="1" type="noConversion"/>
  </si>
  <si>
    <t>CurseDamageReduce</t>
    <phoneticPr fontId="1" type="noConversion"/>
  </si>
  <si>
    <t>PotionProportion</t>
    <phoneticPr fontId="1" type="noConversion"/>
  </si>
  <si>
    <t>WeaponDamage</t>
    <phoneticPr fontId="1" type="noConversion"/>
  </si>
  <si>
    <t>刀子傷害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</si>
</sst>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21"/>
  <sheetViews>
    <sheetView tabSelected="1" workbookViewId="0">
      <pane xSplit="2" ySplit="2" topLeftCell="C99" activePane="bottomRight" state="frozen"/>
      <selection pane="topRight" activeCell="C1" sqref="C1"/>
      <selection pane="bottomLeft" activeCell="A3" sqref="A3"/>
      <selection pane="bottomRight" activeCell="C113" sqref="C113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7" s="1" customFormat="1" x14ac:dyDescent="0.25">
      <c r="A1" s="1" t="s">
        <v>0</v>
      </c>
      <c r="B1" s="1" t="s">
        <v>7</v>
      </c>
      <c r="C1" s="1" t="s">
        <v>19</v>
      </c>
    </row>
    <row r="2" spans="1:7" s="1" customFormat="1" x14ac:dyDescent="0.25">
      <c r="A2" s="1" t="s">
        <v>1</v>
      </c>
      <c r="B2" s="1" t="s">
        <v>2</v>
      </c>
      <c r="C2" s="1" t="s">
        <v>21</v>
      </c>
      <c r="E2" s="1" t="s">
        <v>241</v>
      </c>
      <c r="F2" s="1">
        <v>10</v>
      </c>
    </row>
    <row r="3" spans="1:7" x14ac:dyDescent="0.25">
      <c r="A3" t="s">
        <v>41</v>
      </c>
      <c r="B3" t="s">
        <v>26</v>
      </c>
      <c r="C3">
        <v>5</v>
      </c>
      <c r="E3" t="s">
        <v>242</v>
      </c>
      <c r="F3">
        <f>C3+C4*F2</f>
        <v>35</v>
      </c>
      <c r="G3">
        <f>F3+F6</f>
        <v>40</v>
      </c>
    </row>
    <row r="4" spans="1:7" x14ac:dyDescent="0.25">
      <c r="A4" t="s">
        <v>42</v>
      </c>
      <c r="B4" t="s">
        <v>27</v>
      </c>
      <c r="C4">
        <v>3</v>
      </c>
      <c r="E4" t="s">
        <v>243</v>
      </c>
      <c r="F4">
        <f>C7+C8*F2</f>
        <v>720</v>
      </c>
      <c r="G4">
        <f>F4+F7</f>
        <v>920</v>
      </c>
    </row>
    <row r="5" spans="1:7" x14ac:dyDescent="0.25">
      <c r="A5" t="s">
        <v>60</v>
      </c>
      <c r="B5" t="s">
        <v>22</v>
      </c>
      <c r="C5">
        <v>10</v>
      </c>
      <c r="E5" t="s">
        <v>244</v>
      </c>
      <c r="F5">
        <f>C11+C12*F2</f>
        <v>180</v>
      </c>
      <c r="G5">
        <f>(F5+F8)*2</f>
        <v>460</v>
      </c>
    </row>
    <row r="6" spans="1:7" x14ac:dyDescent="0.25">
      <c r="A6" t="s">
        <v>43</v>
      </c>
      <c r="B6" t="s">
        <v>20</v>
      </c>
      <c r="C6">
        <v>1</v>
      </c>
      <c r="E6" t="s">
        <v>245</v>
      </c>
      <c r="F6">
        <f>C20*F2</f>
        <v>5</v>
      </c>
    </row>
    <row r="7" spans="1:7" x14ac:dyDescent="0.25">
      <c r="A7" t="s">
        <v>44</v>
      </c>
      <c r="B7" t="s">
        <v>206</v>
      </c>
      <c r="C7">
        <v>120</v>
      </c>
      <c r="E7" t="s">
        <v>246</v>
      </c>
      <c r="F7">
        <f>C21*F2</f>
        <v>200</v>
      </c>
    </row>
    <row r="8" spans="1:7" x14ac:dyDescent="0.25">
      <c r="A8" t="s">
        <v>45</v>
      </c>
      <c r="B8" t="s">
        <v>25</v>
      </c>
      <c r="C8">
        <v>60</v>
      </c>
      <c r="E8" t="s">
        <v>247</v>
      </c>
      <c r="F8">
        <f>C22*F2</f>
        <v>50</v>
      </c>
    </row>
    <row r="9" spans="1:7" x14ac:dyDescent="0.25">
      <c r="A9" t="s">
        <v>46</v>
      </c>
      <c r="B9" t="s">
        <v>23</v>
      </c>
      <c r="C9">
        <v>10</v>
      </c>
    </row>
    <row r="10" spans="1:7" x14ac:dyDescent="0.25">
      <c r="A10" t="s">
        <v>47</v>
      </c>
      <c r="B10" t="s">
        <v>24</v>
      </c>
      <c r="C10">
        <v>1</v>
      </c>
    </row>
    <row r="11" spans="1:7" x14ac:dyDescent="0.25">
      <c r="A11" t="s">
        <v>48</v>
      </c>
      <c r="B11" t="s">
        <v>28</v>
      </c>
      <c r="C11">
        <v>30</v>
      </c>
    </row>
    <row r="12" spans="1:7" x14ac:dyDescent="0.25">
      <c r="A12" t="s">
        <v>49</v>
      </c>
      <c r="B12" t="s">
        <v>29</v>
      </c>
      <c r="C12">
        <v>15</v>
      </c>
    </row>
    <row r="13" spans="1:7" x14ac:dyDescent="0.25">
      <c r="A13" t="s">
        <v>50</v>
      </c>
      <c r="B13" t="s">
        <v>30</v>
      </c>
      <c r="C13">
        <v>10</v>
      </c>
    </row>
    <row r="14" spans="1:7" x14ac:dyDescent="0.25">
      <c r="A14" t="s">
        <v>224</v>
      </c>
      <c r="B14" t="s">
        <v>31</v>
      </c>
      <c r="C14">
        <v>1</v>
      </c>
    </row>
    <row r="15" spans="1:7" x14ac:dyDescent="0.25">
      <c r="A15" t="s">
        <v>51</v>
      </c>
      <c r="B15" t="s">
        <v>32</v>
      </c>
      <c r="C15">
        <v>1</v>
      </c>
    </row>
    <row r="16" spans="1:7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234</v>
      </c>
      <c r="B20" t="s">
        <v>175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176</v>
      </c>
      <c r="C21">
        <v>20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177</v>
      </c>
      <c r="C22">
        <v>5</v>
      </c>
      <c r="E22" t="str">
        <f t="shared" si="0"/>
        <v>public static float RandomShield;</v>
      </c>
    </row>
    <row r="23" spans="1:5" x14ac:dyDescent="0.25">
      <c r="A23" t="s">
        <v>171</v>
      </c>
      <c r="B23" t="s">
        <v>174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170</v>
      </c>
      <c r="B24" t="s">
        <v>172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236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255</v>
      </c>
      <c r="B28" t="s">
        <v>179</v>
      </c>
      <c r="C28">
        <v>4</v>
      </c>
      <c r="E28" t="str">
        <f t="shared" si="0"/>
        <v>public static float RandomAvatarTime;</v>
      </c>
    </row>
    <row r="29" spans="1:5" x14ac:dyDescent="0.25">
      <c r="A29" t="s">
        <v>181</v>
      </c>
      <c r="B29" t="s">
        <v>180</v>
      </c>
      <c r="C29">
        <v>2</v>
      </c>
      <c r="E29" t="str">
        <f t="shared" si="0"/>
        <v>public static float RandomAvatarPotionBuff;</v>
      </c>
    </row>
    <row r="30" spans="1:5" x14ac:dyDescent="0.25">
      <c r="A30" t="s">
        <v>237</v>
      </c>
      <c r="B30" t="s">
        <v>187</v>
      </c>
      <c r="C30">
        <v>0.5</v>
      </c>
      <c r="E30" t="str">
        <f t="shared" si="0"/>
        <v>public static float RandomSkillTime;</v>
      </c>
    </row>
    <row r="31" spans="1:5" x14ac:dyDescent="0.25">
      <c r="A31" t="s">
        <v>59</v>
      </c>
      <c r="B31" t="s">
        <v>186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215</v>
      </c>
      <c r="B32" t="s">
        <v>250</v>
      </c>
      <c r="C32">
        <v>50</v>
      </c>
      <c r="E32" t="str">
        <f t="shared" si="0"/>
        <v>public static float RandomEquipDrop;</v>
      </c>
    </row>
    <row r="33" spans="1:5" x14ac:dyDescent="0.25">
      <c r="A33" t="s">
        <v>256</v>
      </c>
      <c r="B33" t="s">
        <v>258</v>
      </c>
      <c r="C33">
        <v>2</v>
      </c>
      <c r="E33" t="str">
        <f t="shared" si="0"/>
        <v>public static float RandomGoldDrop;</v>
      </c>
    </row>
    <row r="34" spans="1:5" x14ac:dyDescent="0.25">
      <c r="A34" t="s">
        <v>216</v>
      </c>
      <c r="B34" t="s">
        <v>249</v>
      </c>
      <c r="C34">
        <v>0.2</v>
      </c>
      <c r="E34" t="str">
        <f t="shared" si="0"/>
        <v>public static float RandomBloodThirsty;</v>
      </c>
    </row>
    <row r="35" spans="1:5" x14ac:dyDescent="0.25">
      <c r="A35" t="s">
        <v>217</v>
      </c>
      <c r="B35" t="s">
        <v>248</v>
      </c>
      <c r="C35">
        <v>0.2</v>
      </c>
      <c r="E35" t="str">
        <f t="shared" si="0"/>
        <v>public static float RandomPotionEfficiency;</v>
      </c>
    </row>
    <row r="36" spans="1:5" x14ac:dyDescent="0.25">
      <c r="B36" s="3" t="s">
        <v>93</v>
      </c>
    </row>
    <row r="37" spans="1:5" x14ac:dyDescent="0.25">
      <c r="A37" t="s">
        <v>91</v>
      </c>
      <c r="B37" t="s">
        <v>61</v>
      </c>
      <c r="C37">
        <v>150</v>
      </c>
      <c r="E37" t="str">
        <f>"public static float "&amp;A37&amp;";"</f>
        <v>public static float MaxItemCount;</v>
      </c>
    </row>
    <row r="38" spans="1:5" x14ac:dyDescent="0.25">
      <c r="A38" t="s">
        <v>62</v>
      </c>
      <c r="B38" t="s">
        <v>63</v>
      </c>
      <c r="C38" t="s">
        <v>68</v>
      </c>
    </row>
    <row r="39" spans="1:5" x14ac:dyDescent="0.25">
      <c r="A39" t="s">
        <v>66</v>
      </c>
      <c r="B39" t="s">
        <v>64</v>
      </c>
      <c r="C39" t="s">
        <v>69</v>
      </c>
    </row>
    <row r="40" spans="1:5" x14ac:dyDescent="0.25">
      <c r="A40" t="s">
        <v>67</v>
      </c>
      <c r="B40" t="s">
        <v>65</v>
      </c>
      <c r="C40" t="s">
        <v>70</v>
      </c>
    </row>
    <row r="41" spans="1:5" x14ac:dyDescent="0.25">
      <c r="A41" t="s">
        <v>238</v>
      </c>
      <c r="B41" t="s">
        <v>239</v>
      </c>
      <c r="C41" t="s">
        <v>240</v>
      </c>
    </row>
    <row r="42" spans="1:5" x14ac:dyDescent="0.25">
      <c r="A42" t="s">
        <v>71</v>
      </c>
      <c r="B42" t="s">
        <v>72</v>
      </c>
      <c r="C42" t="s">
        <v>74</v>
      </c>
      <c r="E42" t="str">
        <f t="shared" ref="E42:E78" si="2">"public static float "&amp;A42&amp;";"</f>
        <v>public static float StrengthenPath;</v>
      </c>
    </row>
    <row r="43" spans="1:5" x14ac:dyDescent="0.25">
      <c r="A43" t="s">
        <v>73</v>
      </c>
      <c r="B43" t="s">
        <v>84</v>
      </c>
      <c r="C43" t="s">
        <v>85</v>
      </c>
      <c r="E43" t="str">
        <f t="shared" si="2"/>
        <v>public static float EquipPath;</v>
      </c>
    </row>
    <row r="44" spans="1:5" x14ac:dyDescent="0.25">
      <c r="A44" t="s">
        <v>88</v>
      </c>
      <c r="B44" t="s">
        <v>86</v>
      </c>
      <c r="C44" t="s">
        <v>89</v>
      </c>
      <c r="E44" t="str">
        <f t="shared" si="2"/>
        <v>public static float ArmorPath;</v>
      </c>
    </row>
    <row r="45" spans="1:5" x14ac:dyDescent="0.25">
      <c r="A45" t="s">
        <v>198</v>
      </c>
      <c r="B45" t="s">
        <v>87</v>
      </c>
      <c r="C45" t="s">
        <v>90</v>
      </c>
      <c r="E45" t="str">
        <f t="shared" ref="E45:E46" si="3">"public static float "&amp;A45&amp;";"</f>
        <v>public static float AccessoryPath;</v>
      </c>
    </row>
    <row r="46" spans="1:5" x14ac:dyDescent="0.25">
      <c r="A46" t="s">
        <v>196</v>
      </c>
      <c r="B46" t="s">
        <v>197</v>
      </c>
      <c r="C46" t="s">
        <v>211</v>
      </c>
      <c r="E46" t="str">
        <f t="shared" si="3"/>
        <v>public static float SoulPath;</v>
      </c>
    </row>
    <row r="47" spans="1:5" x14ac:dyDescent="0.25">
      <c r="A47" t="s">
        <v>214</v>
      </c>
      <c r="B47" t="s">
        <v>213</v>
      </c>
      <c r="C47" t="s">
        <v>212</v>
      </c>
      <c r="E47" t="str">
        <f t="shared" ref="E47" si="4">"public static float "&amp;A47&amp;";"</f>
        <v>public static float EnchantPath;</v>
      </c>
    </row>
    <row r="48" spans="1:5" s="2" customFormat="1" x14ac:dyDescent="0.25">
      <c r="B48" s="6" t="s">
        <v>151</v>
      </c>
    </row>
    <row r="49" spans="1:7" x14ac:dyDescent="0.25">
      <c r="A49" t="s">
        <v>168</v>
      </c>
      <c r="B49" s="4" t="s">
        <v>103</v>
      </c>
      <c r="C49">
        <v>260</v>
      </c>
      <c r="E49" t="str">
        <f>"public static int "&amp;A49&amp;";"</f>
        <v>public static int MaxHealth;</v>
      </c>
      <c r="G49">
        <v>260</v>
      </c>
    </row>
    <row r="50" spans="1:7" x14ac:dyDescent="0.25">
      <c r="A50" t="s">
        <v>266</v>
      </c>
      <c r="B50" s="4" t="s">
        <v>267</v>
      </c>
      <c r="C50">
        <v>0</v>
      </c>
      <c r="E50" t="str">
        <f>"public static int "&amp;A50&amp;";"</f>
        <v>public static int WeaponDamage;</v>
      </c>
      <c r="G50">
        <v>0</v>
      </c>
    </row>
    <row r="51" spans="1:7" x14ac:dyDescent="0.25">
      <c r="A51" t="s">
        <v>104</v>
      </c>
      <c r="B51" s="4" t="s">
        <v>207</v>
      </c>
      <c r="C51">
        <v>20</v>
      </c>
      <c r="E51" t="str">
        <f>"public static int "&amp;A51&amp;";"</f>
        <v>public static int BaseDamage;</v>
      </c>
      <c r="G51">
        <v>20</v>
      </c>
    </row>
    <row r="52" spans="1:7" x14ac:dyDescent="0.25">
      <c r="A52" t="s">
        <v>105</v>
      </c>
      <c r="B52" s="4" t="s">
        <v>102</v>
      </c>
      <c r="C52">
        <v>800</v>
      </c>
      <c r="E52" t="str">
        <f>"public static int "&amp;A52&amp;";"</f>
        <v>public static int BaseMoveSpeed;</v>
      </c>
      <c r="G52">
        <v>800</v>
      </c>
    </row>
    <row r="53" spans="1:7" x14ac:dyDescent="0.25">
      <c r="A53" t="s">
        <v>106</v>
      </c>
      <c r="B53" s="4" t="s">
        <v>208</v>
      </c>
      <c r="C53">
        <v>130</v>
      </c>
      <c r="E53" t="str">
        <f>"public static int "&amp;A53&amp;";"</f>
        <v>public static int MaxShield;</v>
      </c>
      <c r="G53">
        <v>130</v>
      </c>
    </row>
    <row r="54" spans="1:7" x14ac:dyDescent="0.25">
      <c r="A54" t="s">
        <v>94</v>
      </c>
      <c r="B54" s="4" t="s">
        <v>95</v>
      </c>
      <c r="C54">
        <v>0.2</v>
      </c>
      <c r="E54" t="str">
        <f t="shared" si="2"/>
        <v>public static float ShieldGenerateProportion;</v>
      </c>
      <c r="G54">
        <v>0.2</v>
      </c>
    </row>
    <row r="55" spans="1:7" x14ac:dyDescent="0.25">
      <c r="A55" t="s">
        <v>107</v>
      </c>
      <c r="B55" s="4" t="s">
        <v>173</v>
      </c>
      <c r="C55">
        <v>5</v>
      </c>
      <c r="E55" t="str">
        <f t="shared" si="2"/>
        <v>public static float ShieldRechargeTime;</v>
      </c>
      <c r="G55">
        <v>5</v>
      </c>
    </row>
    <row r="56" spans="1:7" x14ac:dyDescent="0.25">
      <c r="A56" t="s">
        <v>99</v>
      </c>
      <c r="B56" s="4" t="s">
        <v>96</v>
      </c>
      <c r="C56">
        <v>80</v>
      </c>
      <c r="E56" t="str">
        <f>"public static int "&amp;A56&amp;";"</f>
        <v>public static int GainMoveFromKilling;</v>
      </c>
      <c r="G56">
        <v>80</v>
      </c>
    </row>
    <row r="57" spans="1:7" x14ac:dyDescent="0.25">
      <c r="A57" t="s">
        <v>169</v>
      </c>
      <c r="B57" s="4" t="s">
        <v>97</v>
      </c>
      <c r="C57">
        <v>5</v>
      </c>
      <c r="E57" t="str">
        <f t="shared" si="2"/>
        <v>public static float MoveDepletedTime;</v>
      </c>
      <c r="G57">
        <v>5</v>
      </c>
    </row>
    <row r="58" spans="1:7" x14ac:dyDescent="0.25">
      <c r="A58" t="s">
        <v>108</v>
      </c>
      <c r="B58" s="4" t="s">
        <v>98</v>
      </c>
      <c r="C58">
        <v>400</v>
      </c>
      <c r="E58" t="str">
        <f>"public static int "&amp;A58&amp;";"</f>
        <v>public static int MaxExtraMove;</v>
      </c>
      <c r="G58">
        <v>400</v>
      </c>
    </row>
    <row r="59" spans="1:7" x14ac:dyDescent="0.25">
      <c r="A59" t="s">
        <v>109</v>
      </c>
      <c r="B59" s="4" t="s">
        <v>9</v>
      </c>
      <c r="C59">
        <v>30</v>
      </c>
      <c r="E59" t="str">
        <f t="shared" si="2"/>
        <v>public static float MaxAvaterTime;</v>
      </c>
      <c r="G59">
        <v>30</v>
      </c>
    </row>
    <row r="60" spans="1:7" x14ac:dyDescent="0.25">
      <c r="A60" t="s">
        <v>182</v>
      </c>
      <c r="B60" s="4" t="s">
        <v>183</v>
      </c>
      <c r="C60">
        <v>0</v>
      </c>
      <c r="E60" t="str">
        <f t="shared" si="2"/>
        <v>public static float AvatarPotionBuff;</v>
      </c>
      <c r="G60">
        <v>0</v>
      </c>
    </row>
    <row r="61" spans="1:7" x14ac:dyDescent="0.25">
      <c r="A61" t="s">
        <v>110</v>
      </c>
      <c r="B61" t="s">
        <v>188</v>
      </c>
      <c r="C61">
        <v>0</v>
      </c>
      <c r="E61" t="str">
        <f t="shared" si="2"/>
        <v>public static float SkillTimeBuff;</v>
      </c>
      <c r="G61">
        <v>0</v>
      </c>
    </row>
    <row r="62" spans="1:7" x14ac:dyDescent="0.25">
      <c r="A62" t="s">
        <v>111</v>
      </c>
      <c r="B62" t="s">
        <v>186</v>
      </c>
      <c r="C62">
        <v>0</v>
      </c>
      <c r="E62" t="str">
        <f t="shared" si="2"/>
        <v>public static float SkillDrop;</v>
      </c>
      <c r="G62">
        <v>0</v>
      </c>
    </row>
    <row r="63" spans="1:7" x14ac:dyDescent="0.25">
      <c r="A63" t="s">
        <v>112</v>
      </c>
      <c r="B63" s="4" t="s">
        <v>185</v>
      </c>
      <c r="C63">
        <v>0</v>
      </c>
      <c r="E63" t="str">
        <f t="shared" si="2"/>
        <v>public static float EquipDrop;</v>
      </c>
      <c r="G63">
        <v>0</v>
      </c>
    </row>
    <row r="64" spans="1:7" x14ac:dyDescent="0.25">
      <c r="A64" t="s">
        <v>189</v>
      </c>
      <c r="B64" s="4" t="s">
        <v>257</v>
      </c>
      <c r="C64">
        <v>0</v>
      </c>
      <c r="E64" t="str">
        <f t="shared" si="2"/>
        <v>public static float GoldDrop;</v>
      </c>
      <c r="G64">
        <v>0</v>
      </c>
    </row>
    <row r="65" spans="1:7" x14ac:dyDescent="0.25">
      <c r="A65" t="s">
        <v>113</v>
      </c>
      <c r="B65" s="4" t="s">
        <v>190</v>
      </c>
      <c r="C65">
        <v>0</v>
      </c>
      <c r="E65" t="str">
        <f t="shared" si="2"/>
        <v>public static float BloodThirsty;</v>
      </c>
      <c r="G65">
        <v>0</v>
      </c>
    </row>
    <row r="66" spans="1:7" x14ac:dyDescent="0.25">
      <c r="A66" t="s">
        <v>114</v>
      </c>
      <c r="B66" s="4" t="s">
        <v>178</v>
      </c>
      <c r="C66">
        <v>0</v>
      </c>
      <c r="E66" t="str">
        <f t="shared" si="2"/>
        <v>public static float PotionEfficiency;</v>
      </c>
      <c r="G66">
        <v>0</v>
      </c>
    </row>
    <row r="67" spans="1:7" x14ac:dyDescent="0.25">
      <c r="A67" t="s">
        <v>101</v>
      </c>
      <c r="B67" s="4" t="s">
        <v>100</v>
      </c>
      <c r="C67">
        <v>0</v>
      </c>
      <c r="E67" t="str">
        <f t="shared" si="2"/>
        <v>public static float PotionDrop;</v>
      </c>
      <c r="G67">
        <v>0</v>
      </c>
    </row>
    <row r="68" spans="1:7" x14ac:dyDescent="0.25">
      <c r="A68" t="s">
        <v>263</v>
      </c>
      <c r="B68" s="4" t="s">
        <v>199</v>
      </c>
      <c r="C68">
        <v>2</v>
      </c>
      <c r="E68" t="str">
        <f t="shared" si="2"/>
        <v>public static float RushCD;</v>
      </c>
      <c r="G68">
        <v>2</v>
      </c>
    </row>
    <row r="69" spans="1:7" x14ac:dyDescent="0.25">
      <c r="A69" t="s">
        <v>261</v>
      </c>
      <c r="B69" s="4" t="s">
        <v>262</v>
      </c>
      <c r="C69">
        <v>1</v>
      </c>
      <c r="E69" t="str">
        <f t="shared" ref="E69" si="5">"public static float "&amp;A69&amp;";"</f>
        <v>public static float RushStun;</v>
      </c>
      <c r="G69">
        <v>1</v>
      </c>
    </row>
    <row r="70" spans="1:7" x14ac:dyDescent="0.25">
      <c r="A70" t="s">
        <v>254</v>
      </c>
      <c r="B70" s="4" t="s">
        <v>218</v>
      </c>
      <c r="C70">
        <v>0.2</v>
      </c>
      <c r="E70" t="str">
        <f t="shared" si="2"/>
        <v>public static float SkillAmmoInterval;</v>
      </c>
      <c r="G70">
        <v>0.2</v>
      </c>
    </row>
    <row r="71" spans="1:7" x14ac:dyDescent="0.25">
      <c r="A71" t="s">
        <v>252</v>
      </c>
      <c r="B71" s="4" t="s">
        <v>253</v>
      </c>
      <c r="C71">
        <v>0.4</v>
      </c>
      <c r="E71" t="str">
        <f t="shared" ref="E71" si="6">"public static float "&amp;A71&amp;";"</f>
        <v>public static float SkillFaceTargetAmmoInterval;</v>
      </c>
      <c r="G71">
        <v>0.4</v>
      </c>
    </row>
    <row r="72" spans="1:7" x14ac:dyDescent="0.25">
      <c r="A72" t="s">
        <v>220</v>
      </c>
      <c r="B72" s="4" t="s">
        <v>219</v>
      </c>
      <c r="C72">
        <v>2</v>
      </c>
      <c r="E72" t="str">
        <f t="shared" si="2"/>
        <v>public static float SkillAmmoSpeed;</v>
      </c>
      <c r="G72">
        <v>2</v>
      </c>
    </row>
    <row r="73" spans="1:7" x14ac:dyDescent="0.25">
      <c r="A73" t="s">
        <v>251</v>
      </c>
      <c r="B73" s="4" t="s">
        <v>230</v>
      </c>
      <c r="C73">
        <v>0.4</v>
      </c>
      <c r="E73" t="str">
        <f t="shared" si="2"/>
        <v>public static float SkillAmmoDamage;</v>
      </c>
      <c r="G73">
        <v>0.4</v>
      </c>
    </row>
    <row r="74" spans="1:7" s="2" customFormat="1" x14ac:dyDescent="0.25">
      <c r="B74" s="6" t="s">
        <v>150</v>
      </c>
    </row>
    <row r="75" spans="1:7" x14ac:dyDescent="0.25">
      <c r="A75" t="s">
        <v>78</v>
      </c>
      <c r="B75" t="s">
        <v>77</v>
      </c>
      <c r="C75">
        <v>0.5</v>
      </c>
      <c r="E75" t="str">
        <f t="shared" si="2"/>
        <v>public static float FreezeMove;</v>
      </c>
      <c r="G75">
        <v>0.5</v>
      </c>
    </row>
    <row r="76" spans="1:7" x14ac:dyDescent="0.25">
      <c r="A76" t="s">
        <v>80</v>
      </c>
      <c r="B76" t="s">
        <v>81</v>
      </c>
      <c r="C76">
        <v>1.4999999999999999E-2</v>
      </c>
      <c r="E76" t="str">
        <f t="shared" si="2"/>
        <v>public static float BurnDamage;</v>
      </c>
      <c r="G76">
        <v>0.01</v>
      </c>
    </row>
    <row r="77" spans="1:7" x14ac:dyDescent="0.25">
      <c r="A77" t="s">
        <v>83</v>
      </c>
      <c r="B77" t="s">
        <v>82</v>
      </c>
      <c r="C77">
        <v>0.5</v>
      </c>
      <c r="E77" t="str">
        <f t="shared" ref="E77" si="7">"public static float "&amp;A77&amp;";"</f>
        <v>public static float BurnInterval;</v>
      </c>
      <c r="G77">
        <v>0.5</v>
      </c>
    </row>
    <row r="78" spans="1:7" x14ac:dyDescent="0.25">
      <c r="A78" t="s">
        <v>264</v>
      </c>
      <c r="B78" t="s">
        <v>79</v>
      </c>
      <c r="C78">
        <v>0.3</v>
      </c>
      <c r="E78" t="str">
        <f t="shared" si="2"/>
        <v>public static float CurseDamageReduce;</v>
      </c>
      <c r="G78">
        <v>0.5</v>
      </c>
    </row>
    <row r="79" spans="1:7" s="2" customFormat="1" x14ac:dyDescent="0.25">
      <c r="B79" s="6" t="s">
        <v>92</v>
      </c>
    </row>
    <row r="80" spans="1:7" x14ac:dyDescent="0.25">
      <c r="A80" t="s">
        <v>149</v>
      </c>
      <c r="B80" s="7" t="s">
        <v>121</v>
      </c>
      <c r="C80">
        <v>6</v>
      </c>
      <c r="E80" t="str">
        <f t="shared" ref="E80:E115" si="8">"public static int "&amp;A80&amp;";"</f>
        <v>public static int PotionInterval;</v>
      </c>
      <c r="G80">
        <v>10</v>
      </c>
    </row>
    <row r="81" spans="1:9" x14ac:dyDescent="0.25">
      <c r="A81" t="s">
        <v>265</v>
      </c>
      <c r="B81" s="7" t="s">
        <v>122</v>
      </c>
      <c r="C81">
        <v>0.3</v>
      </c>
      <c r="E81" t="str">
        <f>"public static float "&amp;A81&amp;";"</f>
        <v>public static float PotionProportion;</v>
      </c>
      <c r="G81">
        <v>0.5</v>
      </c>
    </row>
    <row r="82" spans="1:9" x14ac:dyDescent="0.25">
      <c r="A82" t="s">
        <v>123</v>
      </c>
      <c r="B82" s="7" t="s">
        <v>75</v>
      </c>
      <c r="C82">
        <v>2</v>
      </c>
      <c r="E82" t="str">
        <f t="shared" si="8"/>
        <v>public static int EnemyFirstHalfInterval;</v>
      </c>
      <c r="G82">
        <v>1.5</v>
      </c>
    </row>
    <row r="83" spans="1:9" x14ac:dyDescent="0.25">
      <c r="A83" t="s">
        <v>124</v>
      </c>
      <c r="B83" s="7" t="s">
        <v>76</v>
      </c>
      <c r="C83">
        <v>1</v>
      </c>
      <c r="E83" t="str">
        <f>"public static float "&amp;A83&amp;";"</f>
        <v>public static float EnemySecondHalfInterval;</v>
      </c>
      <c r="G83">
        <v>1</v>
      </c>
    </row>
    <row r="84" spans="1:9" x14ac:dyDescent="0.25">
      <c r="A84" t="s">
        <v>125</v>
      </c>
      <c r="B84" s="7" t="s">
        <v>117</v>
      </c>
      <c r="C84">
        <v>1</v>
      </c>
      <c r="E84" t="str">
        <f t="shared" si="8"/>
        <v>public static int EnemyFirstHalfMinCount;</v>
      </c>
      <c r="G84">
        <v>3</v>
      </c>
    </row>
    <row r="85" spans="1:9" x14ac:dyDescent="0.25">
      <c r="A85" t="s">
        <v>127</v>
      </c>
      <c r="B85" s="7" t="s">
        <v>116</v>
      </c>
      <c r="C85">
        <v>2</v>
      </c>
      <c r="E85" t="str">
        <f t="shared" si="8"/>
        <v>public static int EnemyFirstHalfMaxCount;</v>
      </c>
      <c r="G85">
        <v>5</v>
      </c>
    </row>
    <row r="86" spans="1:9" x14ac:dyDescent="0.25">
      <c r="A86" t="s">
        <v>126</v>
      </c>
      <c r="B86" s="7" t="s">
        <v>118</v>
      </c>
      <c r="C86">
        <v>1</v>
      </c>
      <c r="E86" t="str">
        <f t="shared" si="8"/>
        <v>public static int EnemySecondHalfMinCount;</v>
      </c>
      <c r="G86">
        <v>5</v>
      </c>
    </row>
    <row r="87" spans="1:9" x14ac:dyDescent="0.25">
      <c r="A87" t="s">
        <v>128</v>
      </c>
      <c r="B87" s="7" t="s">
        <v>119</v>
      </c>
      <c r="C87">
        <v>3</v>
      </c>
      <c r="E87" t="str">
        <f t="shared" si="8"/>
        <v>public static int EnemySecondHalfMaxCount;</v>
      </c>
      <c r="G87">
        <v>6</v>
      </c>
    </row>
    <row r="88" spans="1:9" x14ac:dyDescent="0.25">
      <c r="A88" t="s">
        <v>129</v>
      </c>
      <c r="B88" s="7" t="s">
        <v>120</v>
      </c>
      <c r="C88">
        <v>1</v>
      </c>
      <c r="E88" t="str">
        <f t="shared" si="8"/>
        <v>public static int EnemySpawnInterval;</v>
      </c>
      <c r="G88">
        <v>0.2</v>
      </c>
    </row>
    <row r="89" spans="1:9" x14ac:dyDescent="0.25">
      <c r="A89" t="s">
        <v>233</v>
      </c>
      <c r="B89" s="7" t="s">
        <v>221</v>
      </c>
      <c r="C89">
        <v>100</v>
      </c>
      <c r="E89" t="str">
        <f t="shared" si="8"/>
        <v>public static int FloorPassGold;</v>
      </c>
      <c r="G89">
        <v>100</v>
      </c>
    </row>
    <row r="90" spans="1:9" x14ac:dyDescent="0.25">
      <c r="A90" t="s">
        <v>223</v>
      </c>
      <c r="B90" s="7" t="s">
        <v>222</v>
      </c>
      <c r="C90">
        <v>200</v>
      </c>
      <c r="E90" t="str">
        <f t="shared" si="8"/>
        <v>public static int NewFloorPassGold;</v>
      </c>
      <c r="G90">
        <v>300</v>
      </c>
    </row>
    <row r="91" spans="1:9" x14ac:dyDescent="0.25">
      <c r="A91" t="s">
        <v>131</v>
      </c>
      <c r="B91" s="7" t="s">
        <v>115</v>
      </c>
      <c r="C91">
        <v>1</v>
      </c>
      <c r="E91" t="str">
        <f>"public static float "&amp;A91&amp;";"</f>
        <v>public static float BossEmeraldProportion;</v>
      </c>
      <c r="G91">
        <v>0.2</v>
      </c>
    </row>
    <row r="92" spans="1:9" x14ac:dyDescent="0.25">
      <c r="A92" t="s">
        <v>130</v>
      </c>
      <c r="B92" s="7" t="s">
        <v>231</v>
      </c>
      <c r="C92">
        <v>1</v>
      </c>
      <c r="E92" t="str">
        <f t="shared" si="8"/>
        <v>public static int BossEmerald;</v>
      </c>
      <c r="G92">
        <v>2</v>
      </c>
    </row>
    <row r="93" spans="1:9" x14ac:dyDescent="0.25">
      <c r="A93" t="s">
        <v>232</v>
      </c>
      <c r="B93" s="7" t="s">
        <v>235</v>
      </c>
      <c r="C93">
        <v>3</v>
      </c>
      <c r="E93" t="str">
        <f t="shared" si="8"/>
        <v>public static int NewBossEmerald;</v>
      </c>
      <c r="G93">
        <v>10</v>
      </c>
    </row>
    <row r="94" spans="1:9" x14ac:dyDescent="0.25">
      <c r="A94" t="s">
        <v>132</v>
      </c>
      <c r="B94" s="7" t="s">
        <v>160</v>
      </c>
      <c r="C94">
        <v>10</v>
      </c>
      <c r="E94" t="str">
        <f t="shared" si="8"/>
        <v>public static int EnemyGold;</v>
      </c>
      <c r="G94">
        <v>5</v>
      </c>
    </row>
    <row r="95" spans="1:9" x14ac:dyDescent="0.25">
      <c r="A95" t="s">
        <v>134</v>
      </c>
      <c r="B95" s="8" t="s">
        <v>184</v>
      </c>
      <c r="C95" s="5">
        <v>1800</v>
      </c>
      <c r="E95" t="str">
        <f t="shared" si="8"/>
        <v>public static int NoEquipWeight;</v>
      </c>
      <c r="G95" s="5">
        <v>2500</v>
      </c>
      <c r="I95" s="9">
        <f>G95/SUM(G$95:G$100)</f>
        <v>0.963020030816641</v>
      </c>
    </row>
    <row r="96" spans="1:9" x14ac:dyDescent="0.25">
      <c r="A96" t="s">
        <v>140</v>
      </c>
      <c r="B96" s="8" t="s">
        <v>135</v>
      </c>
      <c r="C96" s="5">
        <v>50</v>
      </c>
      <c r="E96" t="str">
        <f t="shared" si="8"/>
        <v>public static int EquipQuality1Weight;</v>
      </c>
      <c r="G96" s="5">
        <v>50</v>
      </c>
      <c r="I96" s="9">
        <f t="shared" ref="I96:I100" si="9">G96/SUM(G$95:G$100)</f>
        <v>1.9260400616332819E-2</v>
      </c>
    </row>
    <row r="97" spans="1:9" x14ac:dyDescent="0.25">
      <c r="A97" t="s">
        <v>141</v>
      </c>
      <c r="B97" s="8" t="s">
        <v>136</v>
      </c>
      <c r="C97" s="5">
        <v>25</v>
      </c>
      <c r="E97" t="str">
        <f t="shared" si="8"/>
        <v>public static int EquipQuality2Weight;</v>
      </c>
      <c r="G97" s="5">
        <v>25</v>
      </c>
      <c r="I97" s="9">
        <f t="shared" si="9"/>
        <v>9.6302003081664093E-3</v>
      </c>
    </row>
    <row r="98" spans="1:9" x14ac:dyDescent="0.25">
      <c r="A98" t="s">
        <v>142</v>
      </c>
      <c r="B98" s="8" t="s">
        <v>137</v>
      </c>
      <c r="C98" s="5">
        <v>12</v>
      </c>
      <c r="E98" t="str">
        <f t="shared" si="8"/>
        <v>public static int EquipQuality3Weight;</v>
      </c>
      <c r="G98" s="5">
        <v>12</v>
      </c>
      <c r="I98" s="9">
        <f t="shared" si="9"/>
        <v>4.6224961479198771E-3</v>
      </c>
    </row>
    <row r="99" spans="1:9" x14ac:dyDescent="0.25">
      <c r="A99" t="s">
        <v>143</v>
      </c>
      <c r="B99" s="8" t="s">
        <v>138</v>
      </c>
      <c r="C99" s="5">
        <v>6</v>
      </c>
      <c r="E99" t="str">
        <f t="shared" si="8"/>
        <v>public static int EquipQuality4Weight;</v>
      </c>
      <c r="G99" s="5">
        <v>6</v>
      </c>
      <c r="I99" s="9">
        <f t="shared" si="9"/>
        <v>2.3112480739599386E-3</v>
      </c>
    </row>
    <row r="100" spans="1:9" x14ac:dyDescent="0.25">
      <c r="A100" t="s">
        <v>144</v>
      </c>
      <c r="B100" s="8" t="s">
        <v>139</v>
      </c>
      <c r="C100" s="5">
        <v>3</v>
      </c>
      <c r="E100" t="str">
        <f t="shared" si="8"/>
        <v>public static int EquipQuality5Weight;</v>
      </c>
      <c r="G100" s="5">
        <v>3</v>
      </c>
      <c r="I100" s="9">
        <f t="shared" si="9"/>
        <v>1.1556240369799693E-3</v>
      </c>
    </row>
    <row r="101" spans="1:9" x14ac:dyDescent="0.25">
      <c r="A101" t="s">
        <v>165</v>
      </c>
      <c r="B101" s="8" t="s">
        <v>162</v>
      </c>
      <c r="C101" s="5">
        <v>1</v>
      </c>
      <c r="E101" t="str">
        <f t="shared" si="8"/>
        <v>public static int DropWeaponWeight;</v>
      </c>
      <c r="G101" s="5">
        <v>1</v>
      </c>
    </row>
    <row r="102" spans="1:9" x14ac:dyDescent="0.25">
      <c r="A102" t="s">
        <v>166</v>
      </c>
      <c r="B102" s="8" t="s">
        <v>164</v>
      </c>
      <c r="C102" s="5">
        <v>1</v>
      </c>
      <c r="E102" t="str">
        <f t="shared" si="8"/>
        <v>public static int DropArmorWeight;</v>
      </c>
      <c r="G102" s="5">
        <v>1</v>
      </c>
    </row>
    <row r="103" spans="1:9" x14ac:dyDescent="0.25">
      <c r="A103" t="s">
        <v>167</v>
      </c>
      <c r="B103" s="8" t="s">
        <v>163</v>
      </c>
      <c r="C103" s="5">
        <v>2</v>
      </c>
      <c r="E103" t="str">
        <f t="shared" si="8"/>
        <v>public static int DropAccessoryWeight;</v>
      </c>
      <c r="G103" s="5">
        <v>2</v>
      </c>
    </row>
    <row r="104" spans="1:9" x14ac:dyDescent="0.25">
      <c r="A104" t="s">
        <v>158</v>
      </c>
      <c r="B104" s="8" t="s">
        <v>159</v>
      </c>
      <c r="C104" s="5">
        <v>0.05</v>
      </c>
      <c r="E104" t="str">
        <f>"public static float "&amp;A104&amp;";"</f>
        <v>public static float EnemyDropPotionProportion;</v>
      </c>
      <c r="G104" s="5">
        <v>0.05</v>
      </c>
    </row>
    <row r="105" spans="1:9" x14ac:dyDescent="0.25">
      <c r="A105" t="s">
        <v>145</v>
      </c>
      <c r="B105" s="8" t="s">
        <v>133</v>
      </c>
      <c r="C105" s="5">
        <v>0.2</v>
      </c>
      <c r="E105" t="str">
        <f>"public static float "&amp;A105&amp;";"</f>
        <v>public static float EnemyDropGoldProportion;</v>
      </c>
      <c r="G105" s="5">
        <v>0.2</v>
      </c>
    </row>
    <row r="106" spans="1:9" x14ac:dyDescent="0.25">
      <c r="A106" t="s">
        <v>146</v>
      </c>
      <c r="B106" s="8" t="s">
        <v>161</v>
      </c>
      <c r="C106" s="5">
        <v>4</v>
      </c>
      <c r="E106" t="str">
        <f t="shared" si="8"/>
        <v>public static int EnemyDropGold;</v>
      </c>
      <c r="G106" s="5">
        <v>1</v>
      </c>
    </row>
    <row r="107" spans="1:9" x14ac:dyDescent="0.25">
      <c r="A107" t="s">
        <v>147</v>
      </c>
      <c r="B107" s="8" t="s">
        <v>148</v>
      </c>
      <c r="C107" s="5">
        <v>0.3</v>
      </c>
      <c r="E107" t="str">
        <f>"public static float "&amp;A107&amp;";"</f>
        <v>public static float EnemyDropGoldOffset;</v>
      </c>
      <c r="G107" s="5">
        <v>0.3</v>
      </c>
    </row>
    <row r="108" spans="1:9" x14ac:dyDescent="0.25">
      <c r="A108" t="s">
        <v>195</v>
      </c>
      <c r="B108" s="8" t="s">
        <v>152</v>
      </c>
      <c r="C108" s="5">
        <v>3</v>
      </c>
      <c r="E108" t="str">
        <f t="shared" si="8"/>
        <v>public static int MaxEnemy;</v>
      </c>
      <c r="G108" s="5">
        <v>7</v>
      </c>
    </row>
    <row r="109" spans="1:9" x14ac:dyDescent="0.25">
      <c r="A109" t="s">
        <v>156</v>
      </c>
      <c r="B109" s="8" t="s">
        <v>153</v>
      </c>
      <c r="C109" s="5">
        <v>1</v>
      </c>
      <c r="E109" t="str">
        <f t="shared" si="8"/>
        <v>public static int MaxLoot;</v>
      </c>
      <c r="G109" s="5">
        <v>1</v>
      </c>
    </row>
    <row r="110" spans="1:9" x14ac:dyDescent="0.25">
      <c r="A110" t="s">
        <v>191</v>
      </c>
      <c r="B110" s="8" t="s">
        <v>193</v>
      </c>
      <c r="C110" s="5">
        <v>0</v>
      </c>
      <c r="E110" t="str">
        <f t="shared" ref="E110:E111" si="10">"public static int "&amp;A110&amp;";"</f>
        <v>public static int MaxForeEnemy;</v>
      </c>
      <c r="G110" s="5">
        <v>3</v>
      </c>
    </row>
    <row r="111" spans="1:9" x14ac:dyDescent="0.25">
      <c r="A111" t="s">
        <v>192</v>
      </c>
      <c r="B111" s="8" t="s">
        <v>194</v>
      </c>
      <c r="C111" s="5">
        <v>0</v>
      </c>
      <c r="E111" t="str">
        <f t="shared" si="10"/>
        <v>public static int MaxBackEnemy;</v>
      </c>
      <c r="G111" s="5">
        <v>3</v>
      </c>
    </row>
    <row r="112" spans="1:9" x14ac:dyDescent="0.25">
      <c r="A112" t="s">
        <v>225</v>
      </c>
      <c r="B112" s="8" t="s">
        <v>154</v>
      </c>
      <c r="C112" s="5">
        <v>14</v>
      </c>
      <c r="E112" t="str">
        <f t="shared" si="8"/>
        <v>public static int FloorPlate;</v>
      </c>
      <c r="G112" s="5">
        <v>10</v>
      </c>
    </row>
    <row r="113" spans="1:7" x14ac:dyDescent="0.25">
      <c r="A113" t="s">
        <v>226</v>
      </c>
      <c r="B113" s="8" t="s">
        <v>227</v>
      </c>
      <c r="C113" s="5">
        <v>3</v>
      </c>
      <c r="E113" t="str">
        <f t="shared" ref="E113" si="11">"public static int "&amp;A113&amp;";"</f>
        <v>public static int FloorUpPlate;</v>
      </c>
      <c r="G113" s="5">
        <v>10</v>
      </c>
    </row>
    <row r="114" spans="1:7" x14ac:dyDescent="0.25">
      <c r="A114" t="s">
        <v>229</v>
      </c>
      <c r="B114" s="8" t="s">
        <v>228</v>
      </c>
      <c r="C114" s="5">
        <v>35</v>
      </c>
      <c r="E114" t="str">
        <f t="shared" ref="E114" si="12">"public static int "&amp;A114&amp;";"</f>
        <v>public static int MaxFloorPlate;</v>
      </c>
      <c r="G114" s="5">
        <v>10</v>
      </c>
    </row>
    <row r="115" spans="1:7" x14ac:dyDescent="0.25">
      <c r="A115" t="s">
        <v>157</v>
      </c>
      <c r="B115" s="8" t="s">
        <v>155</v>
      </c>
      <c r="C115" s="5">
        <v>5</v>
      </c>
      <c r="E115" t="str">
        <f t="shared" si="8"/>
        <v>public static int BossDebutPlate;</v>
      </c>
      <c r="G115" s="5">
        <v>1</v>
      </c>
    </row>
    <row r="116" spans="1:7" x14ac:dyDescent="0.25">
      <c r="A116" t="s">
        <v>200</v>
      </c>
      <c r="B116" s="8" t="s">
        <v>201</v>
      </c>
      <c r="C116" s="5">
        <v>0.5</v>
      </c>
      <c r="E116" t="str">
        <f>"public static float "&amp;A116&amp;";"</f>
        <v>public static float EnemyHPGrow;</v>
      </c>
      <c r="G116" s="5"/>
    </row>
    <row r="117" spans="1:7" x14ac:dyDescent="0.25">
      <c r="A117" t="s">
        <v>202</v>
      </c>
      <c r="B117" s="8" t="s">
        <v>203</v>
      </c>
      <c r="C117" s="5">
        <v>0.5</v>
      </c>
      <c r="E117" t="str">
        <f>"public static float "&amp;A117&amp;";"</f>
        <v>public static float EnemyDMGGrow;</v>
      </c>
      <c r="G117" s="5"/>
    </row>
    <row r="118" spans="1:7" x14ac:dyDescent="0.25">
      <c r="A118" t="s">
        <v>204</v>
      </c>
      <c r="B118" s="8" t="s">
        <v>209</v>
      </c>
      <c r="C118" s="5">
        <v>0.5</v>
      </c>
      <c r="E118" t="str">
        <f>"public static float "&amp;A118&amp;";"</f>
        <v>public static float BossHPGrow;</v>
      </c>
      <c r="G118" s="5"/>
    </row>
    <row r="119" spans="1:7" x14ac:dyDescent="0.25">
      <c r="A119" t="s">
        <v>205</v>
      </c>
      <c r="B119" s="8" t="s">
        <v>210</v>
      </c>
      <c r="C119" s="5">
        <v>0.5</v>
      </c>
      <c r="E119" t="str">
        <f>"public static float "&amp;A119&amp;";"</f>
        <v>public static float BossDMGGrow;</v>
      </c>
      <c r="G119" s="5"/>
    </row>
    <row r="120" spans="1:7" x14ac:dyDescent="0.25">
      <c r="A120" t="s">
        <v>259</v>
      </c>
      <c r="B120" s="8" t="s">
        <v>260</v>
      </c>
      <c r="C120" s="5">
        <v>0.5</v>
      </c>
      <c r="E120" t="str">
        <f>"public static float "&amp;A120&amp;";"</f>
        <v>public static float BossSturn;</v>
      </c>
      <c r="G120" s="5"/>
    </row>
    <row r="121" spans="1:7" x14ac:dyDescent="0.25">
      <c r="A121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2019-01-18T08:46:23Z</dcterms:modified>
</cp:coreProperties>
</file>