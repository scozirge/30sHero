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95" windowWidth="14805" windowHeight="702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G91" i="1" l="1"/>
  <c r="E91" i="1"/>
  <c r="G98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2" i="1"/>
  <c r="G93" i="1"/>
  <c r="G94" i="1"/>
  <c r="G95" i="1"/>
  <c r="G96" i="1"/>
  <c r="G97" i="1"/>
  <c r="G70" i="1"/>
  <c r="E98" i="1"/>
  <c r="E97" i="1"/>
  <c r="E96" i="1"/>
  <c r="E95" i="1"/>
  <c r="E71" i="1"/>
  <c r="E94" i="1"/>
  <c r="E92" i="1"/>
  <c r="E81" i="1"/>
  <c r="E73" i="1"/>
  <c r="E93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2" i="1"/>
  <c r="E70" i="1"/>
  <c r="E53" i="1" l="1"/>
  <c r="E51" i="1"/>
  <c r="E48" i="1"/>
  <c r="E47" i="1"/>
  <c r="E46" i="1"/>
  <c r="E45" i="1"/>
  <c r="E63" i="1"/>
  <c r="E62" i="1"/>
  <c r="E61" i="1"/>
  <c r="E60" i="1"/>
  <c r="E59" i="1"/>
  <c r="E58" i="1"/>
  <c r="E57" i="1"/>
  <c r="E56" i="1"/>
  <c r="E55" i="1"/>
  <c r="E54" i="1"/>
  <c r="E52" i="1"/>
  <c r="E50" i="1"/>
  <c r="E49" i="1"/>
  <c r="E42" i="1" l="1"/>
  <c r="E43" i="1"/>
  <c r="E67" i="1" l="1"/>
  <c r="E68" i="1"/>
  <c r="E66" i="1"/>
  <c r="E65" i="1"/>
  <c r="E41" i="1" l="1"/>
  <c r="E40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<sst xmlns="http://schemas.openxmlformats.org/spreadsheetml/2006/main" count="216" uniqueCount="215">
  <si>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</si>
  <si>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</si>
  <si>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</si>
  <si>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</si>
  <si>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</si>
  <si>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</si>
  <si>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</si>
  <si>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</si>
  <si>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</si>
  <si>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</si>
  <si>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</si>
  <si>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</si>
  <si>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</si>
  <si>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</si>
  <si>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</si>
  <si>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</si>
  <si>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</si>
  <si>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</si>
  <si>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</si>
  <si>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</si>
  <si>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</si>
  <si>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</si>
  <si>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</si>
  <si>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</si>
  <si>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</si>
  <si>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</si>
  <si>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</si>
  <si>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</si>
  <si>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</si>
  <si>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</si>
  <si>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</si>
  <si>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</si>
  <si>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</si>
  <si>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</si>
  <si>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</si>
  <si>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</si>
  <si>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</si>
  <si>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</si>
  <si>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</si>
  <si>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</si>
  <si>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</si>
  <si>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</si>
  <si>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</si>
  <si>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</si>
  <si>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</si>
  <si>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</si>
  <si>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</si>
  <si>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</si>
  <si>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</si>
  <si>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</si>
  <si>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</si>
  <si>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</si>
  <si>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</si>
  <si>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</si>
  <si>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</si>
  <si>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</si>
  <si>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</si>
  <si>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</si>
  <si>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</si>
  <si>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</si>
  <si>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</si>
  <si>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</si>
  <si>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</si>
  <si>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</si>
  <si>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</si>
  <si>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</si>
  <si>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</si>
  <si>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</si>
  <si>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</si>
  <si>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</si>
  <si>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</si>
  <si>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</si>
  <si>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</si>
  <si>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</si>
  <si>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</si>
  <si>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</si>
  <si>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</si>
  <si>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</si>
  <si>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</si>
  <si>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</si>
  <si>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</si>
  <si>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</si>
  <si>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</si>
  <si>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</si>
  <si>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</si>
  <si>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</si>
  <si>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</si>
  <si>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</si>
  <si>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</si>
  <si>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</si>
  <si>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</si>
  <si>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</si>
  <si>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</si>
  <si>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</si>
  <si>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</si>
  <si>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</si>
  <si>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</si>
  <si>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</si>
  <si>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</si>
  <si>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</si>
  <si>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</si>
  <si>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</si>
  <si>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</si>
  <si>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</si>
  <si>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</si>
  <si>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</si>
  <si>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</si>
  <si>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</si>
  <si>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</si>
  <si>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</si>
  <si>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</si>
  <si>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</si>
  <si>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</si>
  <si>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</si>
  <si>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</si>
  <si>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</si>
  <si>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</si>
  <si>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</si>
  <si>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</si>
  <si>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</si>
  <si>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</si>
  <si>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</si>
  <si>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護盾要沒受到攻擊多久時間(秒)才會開始充能</t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</si>
  <si>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</si>
  <si>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</si>
  <si>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</si>
  <si>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</si>
  <si>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RandomMoveDecay</t>
    <phoneticPr fontId="1" type="noConversion"/>
  </si>
  <si>
    <t>能量掉落機率</t>
  </si>
  <si>
    <t>變身時間加成(秒)</t>
  </si>
  <si>
    <t>技能時間加成(秒)</t>
  </si>
  <si>
    <t>技能掉落機率</t>
  </si>
  <si>
    <t>裝備掉落機率</t>
  </si>
  <si>
    <t>金幣掉落機率</t>
  </si>
  <si>
    <t>吸血比例</t>
  </si>
  <si>
    <t>藥水效果強化比例</t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</si>
  <si>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</si>
  <si>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</si>
  <si>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</si>
  <si>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</si>
  <si>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</si>
  <si>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MaxHealth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</si>
  <si>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</si>
  <si>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</si>
  <si>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</si>
  <si>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</si>
  <si>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MoveDepletedTime</t>
    <phoneticPr fontId="1" type="noConversion"/>
  </si>
  <si>
    <t>MaxExtraMove</t>
    <phoneticPr fontId="1" type="noConversion"/>
  </si>
  <si>
    <t>MaxAvaterTime</t>
    <phoneticPr fontId="1" type="noConversion"/>
  </si>
  <si>
    <t>EnergyDrop</t>
    <phoneticPr fontId="1" type="noConversion"/>
  </si>
  <si>
    <t>AvatarTimeBuff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</si>
  <si>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</si>
  <si>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</si>
  <si>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</si>
  <si>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</si>
  <si>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</si>
  <si>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</si>
  <si>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</si>
  <si>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</si>
  <si>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</si>
  <si>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</si>
  <si>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</si>
  <si>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</si>
  <si>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</si>
  <si>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</si>
  <si>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</si>
  <si>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</si>
  <si>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裝備權重(無)</t>
    <phoneticPr fontId="5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</si>
  <si>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</si>
  <si>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</si>
  <si>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</si>
  <si>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</si>
  <si>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</si>
  <si>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</si>
  <si>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</si>
  <si>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</si>
  <si>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</si>
  <si>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</si>
  <si>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</si>
  <si>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</si>
  <si>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</si>
  <si>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</si>
  <si>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</si>
  <si>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</si>
  <si>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</si>
  <si>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</si>
  <si>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</si>
  <si>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</si>
  <si>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</si>
  <si>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</si>
  <si>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</si>
  <si>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</si>
  <si>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</si>
  <si>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</si>
  <si>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</si>
  <si>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</si>
  <si>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</si>
  <si>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</si>
  <si>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</si>
  <si>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</si>
  <si>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</si>
  <si>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</si>
  <si>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</si>
  <si>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</si>
  <si>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</si>
  <si>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MaxEnemy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</si>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</sst>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4" borderId="0" xfId="0" applyFill="1"/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99"/>
  <sheetViews>
    <sheetView tabSelected="1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D88" sqref="D88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4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0.05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127</v>
      </c>
      <c r="B26" t="s">
        <v>68</v>
      </c>
      <c r="C26">
        <v>-0.1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116</v>
      </c>
      <c r="B35" t="s">
        <v>84</v>
      </c>
      <c r="C35">
        <v>150</v>
      </c>
      <c r="E35" t="str">
        <f>"public static float "&amp;A35&amp;";"</f>
        <v>public static float MaxItemCount;</v>
      </c>
    </row>
    <row r="36" spans="1:5" x14ac:dyDescent="0.25">
      <c r="B36" s="3" t="s">
        <v>118</v>
      </c>
    </row>
    <row r="37" spans="1:5" x14ac:dyDescent="0.25">
      <c r="A37" t="s">
        <v>85</v>
      </c>
      <c r="B37" t="s">
        <v>86</v>
      </c>
      <c r="C37" t="s">
        <v>91</v>
      </c>
    </row>
    <row r="38" spans="1:5" x14ac:dyDescent="0.25">
      <c r="A38" t="s">
        <v>89</v>
      </c>
      <c r="B38" t="s">
        <v>87</v>
      </c>
      <c r="C38" t="s">
        <v>92</v>
      </c>
    </row>
    <row r="39" spans="1:5" x14ac:dyDescent="0.25">
      <c r="A39" t="s">
        <v>90</v>
      </c>
      <c r="B39" t="s">
        <v>88</v>
      </c>
      <c r="C39" t="s">
        <v>93</v>
      </c>
    </row>
    <row r="40" spans="1:5" x14ac:dyDescent="0.25">
      <c r="A40" t="s">
        <v>94</v>
      </c>
      <c r="B40" t="s">
        <v>95</v>
      </c>
      <c r="C40" t="s">
        <v>97</v>
      </c>
      <c r="E40" t="str">
        <f t="shared" ref="E40:E68" si="1">"public static float "&amp;A40&amp;";"</f>
        <v>public static float StrengthenPath;</v>
      </c>
    </row>
    <row r="41" spans="1:5" x14ac:dyDescent="0.25">
      <c r="A41" t="s">
        <v>96</v>
      </c>
      <c r="B41" t="s">
        <v>108</v>
      </c>
      <c r="C41" t="s">
        <v>109</v>
      </c>
      <c r="E41" t="str">
        <f t="shared" si="1"/>
        <v>public static float EquipPath;</v>
      </c>
    </row>
    <row r="42" spans="1:5" x14ac:dyDescent="0.25">
      <c r="A42" t="s">
        <v>112</v>
      </c>
      <c r="B42" t="s">
        <v>110</v>
      </c>
      <c r="C42" t="s">
        <v>114</v>
      </c>
      <c r="E42" t="str">
        <f t="shared" si="1"/>
        <v>public static float ArmorPath;</v>
      </c>
    </row>
    <row r="43" spans="1:5" x14ac:dyDescent="0.25">
      <c r="A43" t="s">
        <v>113</v>
      </c>
      <c r="B43" t="s">
        <v>111</v>
      </c>
      <c r="C43" t="s">
        <v>115</v>
      </c>
      <c r="E43" t="str">
        <f t="shared" ref="E43" si="2">"public static float "&amp;A43&amp;";"</f>
        <v>public static float AccessoryPath;</v>
      </c>
    </row>
    <row r="44" spans="1:5" s="2" customFormat="1" x14ac:dyDescent="0.25">
      <c r="B44" s="7" t="s">
        <v>200</v>
      </c>
    </row>
    <row r="45" spans="1:5" x14ac:dyDescent="0.25">
      <c r="A45" t="s">
        <v>141</v>
      </c>
      <c r="B45" s="4" t="s">
        <v>140</v>
      </c>
      <c r="C45">
        <v>30</v>
      </c>
      <c r="E45" t="str">
        <f>"public static int "&amp;A45&amp;";"</f>
        <v>public static int MaxHealth;</v>
      </c>
    </row>
    <row r="46" spans="1:5" x14ac:dyDescent="0.25">
      <c r="A46" t="s">
        <v>142</v>
      </c>
      <c r="B46" s="4" t="s">
        <v>138</v>
      </c>
      <c r="C46">
        <v>10</v>
      </c>
      <c r="E46" t="str">
        <f>"public static int "&amp;A46&amp;";"</f>
        <v>public static int BaseDamage;</v>
      </c>
    </row>
    <row r="47" spans="1:5" x14ac:dyDescent="0.25">
      <c r="A47" t="s">
        <v>143</v>
      </c>
      <c r="B47" s="4" t="s">
        <v>139</v>
      </c>
      <c r="C47">
        <v>1000</v>
      </c>
      <c r="E47" t="str">
        <f>"public static int "&amp;A47&amp;";"</f>
        <v>public static int BaseMoveSpeed;</v>
      </c>
    </row>
    <row r="48" spans="1:5" x14ac:dyDescent="0.25">
      <c r="A48" t="s">
        <v>144</v>
      </c>
      <c r="B48" s="4" t="s">
        <v>119</v>
      </c>
      <c r="C48">
        <v>10</v>
      </c>
      <c r="E48" t="str">
        <f>"public static int "&amp;A48&amp;";"</f>
        <v>public static int MaxShield;</v>
      </c>
    </row>
    <row r="49" spans="1:5" x14ac:dyDescent="0.25">
      <c r="A49" t="s">
        <v>120</v>
      </c>
      <c r="B49" s="4" t="s">
        <v>121</v>
      </c>
      <c r="C49">
        <v>0.2</v>
      </c>
      <c r="E49" t="str">
        <f t="shared" si="1"/>
        <v>public static float ShieldGenerateProportion;</v>
      </c>
    </row>
    <row r="50" spans="1:5" x14ac:dyDescent="0.25">
      <c r="A50" t="s">
        <v>145</v>
      </c>
      <c r="B50" s="4" t="s">
        <v>122</v>
      </c>
      <c r="C50">
        <v>5</v>
      </c>
      <c r="E50" t="str">
        <f t="shared" si="1"/>
        <v>public static float ShieldRechargeTime;</v>
      </c>
    </row>
    <row r="51" spans="1:5" x14ac:dyDescent="0.25">
      <c r="A51" t="s">
        <v>126</v>
      </c>
      <c r="B51" s="4" t="s">
        <v>123</v>
      </c>
      <c r="C51">
        <v>150</v>
      </c>
      <c r="E51" t="str">
        <f>"public static int "&amp;A51&amp;";"</f>
        <v>public static int GainMoveFromKilling;</v>
      </c>
    </row>
    <row r="52" spans="1:5" x14ac:dyDescent="0.25">
      <c r="A52" t="s">
        <v>146</v>
      </c>
      <c r="B52" s="4" t="s">
        <v>124</v>
      </c>
      <c r="C52">
        <v>5</v>
      </c>
      <c r="E52" t="str">
        <f t="shared" si="1"/>
        <v>public static float MoveDepletedTime;</v>
      </c>
    </row>
    <row r="53" spans="1:5" x14ac:dyDescent="0.25">
      <c r="A53" t="s">
        <v>147</v>
      </c>
      <c r="B53" s="4" t="s">
        <v>125</v>
      </c>
      <c r="C53">
        <v>500</v>
      </c>
      <c r="E53" t="str">
        <f>"public static int "&amp;A53&amp;";"</f>
        <v>public static int MaxExtraMove;</v>
      </c>
    </row>
    <row r="54" spans="1:5" x14ac:dyDescent="0.25">
      <c r="A54" t="s">
        <v>148</v>
      </c>
      <c r="B54" s="4" t="s">
        <v>9</v>
      </c>
      <c r="C54">
        <v>120</v>
      </c>
      <c r="E54" t="str">
        <f t="shared" si="1"/>
        <v>public static float MaxAvaterTime;</v>
      </c>
    </row>
    <row r="55" spans="1:5" x14ac:dyDescent="0.25">
      <c r="A55" t="s">
        <v>149</v>
      </c>
      <c r="B55" s="4" t="s">
        <v>128</v>
      </c>
      <c r="C55">
        <v>0</v>
      </c>
      <c r="E55" t="str">
        <f t="shared" si="1"/>
        <v>public static float EnergyDrop;</v>
      </c>
    </row>
    <row r="56" spans="1:5" x14ac:dyDescent="0.25">
      <c r="A56" t="s">
        <v>150</v>
      </c>
      <c r="B56" s="4" t="s">
        <v>129</v>
      </c>
      <c r="C56">
        <v>0</v>
      </c>
      <c r="E56" t="str">
        <f t="shared" si="1"/>
        <v>public static float AvatarTimeBuff;</v>
      </c>
    </row>
    <row r="57" spans="1:5" x14ac:dyDescent="0.25">
      <c r="A57" t="s">
        <v>151</v>
      </c>
      <c r="B57" s="4" t="s">
        <v>130</v>
      </c>
      <c r="C57">
        <v>0</v>
      </c>
      <c r="E57" t="str">
        <f t="shared" si="1"/>
        <v>public static float SkillTimeBuff;</v>
      </c>
    </row>
    <row r="58" spans="1:5" x14ac:dyDescent="0.25">
      <c r="A58" t="s">
        <v>152</v>
      </c>
      <c r="B58" s="4" t="s">
        <v>131</v>
      </c>
      <c r="C58">
        <v>0</v>
      </c>
      <c r="E58" t="str">
        <f t="shared" si="1"/>
        <v>public static float SkillDrop;</v>
      </c>
    </row>
    <row r="59" spans="1:5" x14ac:dyDescent="0.25">
      <c r="A59" t="s">
        <v>153</v>
      </c>
      <c r="B59" s="4" t="s">
        <v>132</v>
      </c>
      <c r="C59">
        <v>0</v>
      </c>
      <c r="E59" t="str">
        <f t="shared" si="1"/>
        <v>public static float EquipDrop;</v>
      </c>
    </row>
    <row r="60" spans="1:5" x14ac:dyDescent="0.25">
      <c r="A60" t="s">
        <v>154</v>
      </c>
      <c r="B60" s="4" t="s">
        <v>133</v>
      </c>
      <c r="C60">
        <v>0</v>
      </c>
      <c r="E60" t="str">
        <f t="shared" si="1"/>
        <v>public static float GoldDrop;</v>
      </c>
    </row>
    <row r="61" spans="1:5" x14ac:dyDescent="0.25">
      <c r="A61" t="s">
        <v>155</v>
      </c>
      <c r="B61" s="4" t="s">
        <v>134</v>
      </c>
      <c r="C61">
        <v>0</v>
      </c>
      <c r="E61" t="str">
        <f t="shared" si="1"/>
        <v>public static float BloodThirsty;</v>
      </c>
    </row>
    <row r="62" spans="1:5" x14ac:dyDescent="0.25">
      <c r="A62" t="s">
        <v>156</v>
      </c>
      <c r="B62" s="4" t="s">
        <v>135</v>
      </c>
      <c r="C62">
        <v>0</v>
      </c>
      <c r="E62" t="str">
        <f t="shared" si="1"/>
        <v>public static float PotionEfficiency;</v>
      </c>
    </row>
    <row r="63" spans="1:5" x14ac:dyDescent="0.25">
      <c r="A63" t="s">
        <v>137</v>
      </c>
      <c r="B63" s="4" t="s">
        <v>136</v>
      </c>
      <c r="C63">
        <v>0</v>
      </c>
      <c r="E63" t="str">
        <f t="shared" si="1"/>
        <v>public static float PotionDrop;</v>
      </c>
    </row>
    <row r="64" spans="1:5" s="2" customFormat="1" x14ac:dyDescent="0.25">
      <c r="B64" s="7" t="s">
        <v>199</v>
      </c>
    </row>
    <row r="65" spans="1:7" x14ac:dyDescent="0.25">
      <c r="A65" t="s">
        <v>101</v>
      </c>
      <c r="B65" t="s">
        <v>100</v>
      </c>
      <c r="C65">
        <v>0.5</v>
      </c>
      <c r="E65" t="str">
        <f t="shared" si="1"/>
        <v>public static float FreezeMove;</v>
      </c>
    </row>
    <row r="66" spans="1:7" x14ac:dyDescent="0.25">
      <c r="A66" t="s">
        <v>103</v>
      </c>
      <c r="B66" t="s">
        <v>105</v>
      </c>
      <c r="C66">
        <v>0.01</v>
      </c>
      <c r="E66" t="str">
        <f t="shared" si="1"/>
        <v>public static float BurnDamage;</v>
      </c>
    </row>
    <row r="67" spans="1:7" x14ac:dyDescent="0.25">
      <c r="A67" t="s">
        <v>107</v>
      </c>
      <c r="B67" t="s">
        <v>106</v>
      </c>
      <c r="C67">
        <v>0.5</v>
      </c>
      <c r="E67" t="str">
        <f t="shared" ref="E67" si="3">"public static float "&amp;A67&amp;";"</f>
        <v>public static float BurnInterval;</v>
      </c>
    </row>
    <row r="68" spans="1:7" x14ac:dyDescent="0.25">
      <c r="A68" t="s">
        <v>104</v>
      </c>
      <c r="B68" t="s">
        <v>102</v>
      </c>
      <c r="C68">
        <v>0.5</v>
      </c>
      <c r="E68" t="str">
        <f t="shared" si="1"/>
        <v>public static float CurseDamageReduce;</v>
      </c>
    </row>
    <row r="69" spans="1:7" s="2" customFormat="1" x14ac:dyDescent="0.25">
      <c r="B69" s="7" t="s">
        <v>117</v>
      </c>
    </row>
    <row r="70" spans="1:7" x14ac:dyDescent="0.25">
      <c r="A70" t="s">
        <v>198</v>
      </c>
      <c r="B70" s="8" t="s">
        <v>165</v>
      </c>
      <c r="C70">
        <v>10</v>
      </c>
      <c r="E70" t="str">
        <f t="shared" ref="E70:E98" si="4">"public static int "&amp;A70&amp;";"</f>
        <v>public static int PotionInterval;</v>
      </c>
      <c r="G70" t="str">
        <f>A70&amp;"=GameSettingData."&amp;A70&amp;";"</f>
        <v>PotionInterval=GameSettingData.PotionInterval;</v>
      </c>
    </row>
    <row r="71" spans="1:7" x14ac:dyDescent="0.25">
      <c r="A71" t="s">
        <v>168</v>
      </c>
      <c r="B71" s="8" t="s">
        <v>166</v>
      </c>
      <c r="C71">
        <v>0.5</v>
      </c>
      <c r="E71" t="str">
        <f>"public static float "&amp;A71&amp;";"</f>
        <v>public static float PotionProportion;</v>
      </c>
      <c r="G71" t="str">
        <f t="shared" ref="G71:G97" si="5">A71&amp;"=GameSettingData."&amp;A71&amp;";"</f>
        <v>PotionProportion=GameSettingData.PotionProportion;</v>
      </c>
    </row>
    <row r="72" spans="1:7" x14ac:dyDescent="0.25">
      <c r="A72" t="s">
        <v>169</v>
      </c>
      <c r="B72" s="8" t="s">
        <v>98</v>
      </c>
      <c r="C72">
        <v>3</v>
      </c>
      <c r="E72" t="str">
        <f t="shared" si="4"/>
        <v>public static int EnemyFirstHalfInterval;</v>
      </c>
      <c r="G72" t="str">
        <f t="shared" si="5"/>
        <v>EnemyFirstHalfInterval=GameSettingData.EnemyFirstHalfInterval;</v>
      </c>
    </row>
    <row r="73" spans="1:7" x14ac:dyDescent="0.25">
      <c r="A73" t="s">
        <v>170</v>
      </c>
      <c r="B73" s="8" t="s">
        <v>99</v>
      </c>
      <c r="C73">
        <v>1.7</v>
      </c>
      <c r="E73" t="str">
        <f>"public static float "&amp;A73&amp;";"</f>
        <v>public static float EnemySecondHalfInterval;</v>
      </c>
      <c r="G73" t="str">
        <f t="shared" si="5"/>
        <v>EnemySecondHalfInterval=GameSettingData.EnemySecondHalfInterval;</v>
      </c>
    </row>
    <row r="74" spans="1:7" x14ac:dyDescent="0.25">
      <c r="A74" t="s">
        <v>171</v>
      </c>
      <c r="B74" s="8" t="s">
        <v>161</v>
      </c>
      <c r="C74">
        <v>1</v>
      </c>
      <c r="E74" t="str">
        <f t="shared" si="4"/>
        <v>public static int EnemyFirstHalfMinCount;</v>
      </c>
      <c r="G74" t="str">
        <f t="shared" si="5"/>
        <v>EnemyFirstHalfMinCount=GameSettingData.EnemyFirstHalfMinCount;</v>
      </c>
    </row>
    <row r="75" spans="1:7" x14ac:dyDescent="0.25">
      <c r="A75" t="s">
        <v>173</v>
      </c>
      <c r="B75" s="8" t="s">
        <v>160</v>
      </c>
      <c r="C75">
        <v>3</v>
      </c>
      <c r="E75" t="str">
        <f t="shared" si="4"/>
        <v>public static int EnemyFirstHalfMaxCount;</v>
      </c>
      <c r="G75" t="str">
        <f t="shared" si="5"/>
        <v>EnemyFirstHalfMaxCount=GameSettingData.EnemyFirstHalfMaxCount;</v>
      </c>
    </row>
    <row r="76" spans="1:7" x14ac:dyDescent="0.25">
      <c r="A76" t="s">
        <v>172</v>
      </c>
      <c r="B76" s="8" t="s">
        <v>162</v>
      </c>
      <c r="C76">
        <v>2</v>
      </c>
      <c r="E76" t="str">
        <f t="shared" si="4"/>
        <v>public static int EnemySecondHalfMinCount;</v>
      </c>
      <c r="G76" t="str">
        <f t="shared" si="5"/>
        <v>EnemySecondHalfMinCount=GameSettingData.EnemySecondHalfMinCount;</v>
      </c>
    </row>
    <row r="77" spans="1:7" x14ac:dyDescent="0.25">
      <c r="A77" t="s">
        <v>174</v>
      </c>
      <c r="B77" s="8" t="s">
        <v>163</v>
      </c>
      <c r="C77">
        <v>4</v>
      </c>
      <c r="E77" t="str">
        <f t="shared" si="4"/>
        <v>public static int EnemySecondHalfMaxCount;</v>
      </c>
      <c r="G77" t="str">
        <f t="shared" si="5"/>
        <v>EnemySecondHalfMaxCount=GameSettingData.EnemySecondHalfMaxCount;</v>
      </c>
    </row>
    <row r="78" spans="1:7" x14ac:dyDescent="0.25">
      <c r="A78" t="s">
        <v>175</v>
      </c>
      <c r="B78" s="8" t="s">
        <v>164</v>
      </c>
      <c r="C78">
        <v>0.3</v>
      </c>
      <c r="E78" t="str">
        <f t="shared" si="4"/>
        <v>public static int EnemySpawnInterval;</v>
      </c>
      <c r="G78" t="str">
        <f t="shared" si="5"/>
        <v>EnemySpawnInterval=GameSettingData.EnemySpawnInterval;</v>
      </c>
    </row>
    <row r="79" spans="1:7" x14ac:dyDescent="0.25">
      <c r="A79" t="s">
        <v>176</v>
      </c>
      <c r="B79" t="s">
        <v>157</v>
      </c>
      <c r="C79">
        <v>100</v>
      </c>
      <c r="E79" t="str">
        <f t="shared" si="4"/>
        <v>public static int FloorPassGold;</v>
      </c>
      <c r="G79" t="str">
        <f t="shared" si="5"/>
        <v>FloorPassGold=GameSettingData.FloorPassGold;</v>
      </c>
    </row>
    <row r="80" spans="1:7" x14ac:dyDescent="0.25">
      <c r="A80" t="s">
        <v>177</v>
      </c>
      <c r="B80" t="s">
        <v>158</v>
      </c>
      <c r="C80">
        <v>300</v>
      </c>
      <c r="E80" t="str">
        <f t="shared" si="4"/>
        <v>public static int NewFloorPassGold;</v>
      </c>
      <c r="G80" t="str">
        <f t="shared" si="5"/>
        <v>NewFloorPassGold=GameSettingData.NewFloorPassGold;</v>
      </c>
    </row>
    <row r="81" spans="1:7" x14ac:dyDescent="0.25">
      <c r="A81" t="s">
        <v>179</v>
      </c>
      <c r="B81" s="8" t="s">
        <v>159</v>
      </c>
      <c r="C81">
        <v>0.2</v>
      </c>
      <c r="E81" t="str">
        <f>"public static float "&amp;A81&amp;";"</f>
        <v>public static float BossEmeraldProportion;</v>
      </c>
      <c r="G81" t="str">
        <f t="shared" si="5"/>
        <v>BossEmeraldProportion=GameSettingData.BossEmeraldProportion;</v>
      </c>
    </row>
    <row r="82" spans="1:7" x14ac:dyDescent="0.25">
      <c r="A82" t="s">
        <v>178</v>
      </c>
      <c r="B82" s="8" t="s">
        <v>212</v>
      </c>
      <c r="C82">
        <v>2</v>
      </c>
      <c r="E82" t="str">
        <f t="shared" si="4"/>
        <v>public static int BossEmerald;</v>
      </c>
      <c r="G82" t="str">
        <f t="shared" si="5"/>
        <v>BossEmerald=GameSettingData.BossEmerald;</v>
      </c>
    </row>
    <row r="83" spans="1:7" x14ac:dyDescent="0.25">
      <c r="A83" t="s">
        <v>180</v>
      </c>
      <c r="B83" t="s">
        <v>213</v>
      </c>
      <c r="C83">
        <v>10</v>
      </c>
      <c r="E83" t="str">
        <f t="shared" si="4"/>
        <v>public static int NewBossEmerald;</v>
      </c>
      <c r="G83" t="str">
        <f t="shared" si="5"/>
        <v>NewBossEmerald=GameSettingData.NewBossEmerald;</v>
      </c>
    </row>
    <row r="84" spans="1:7" x14ac:dyDescent="0.25">
      <c r="A84" t="s">
        <v>181</v>
      </c>
      <c r="B84" t="s">
        <v>211</v>
      </c>
      <c r="C84">
        <v>5</v>
      </c>
      <c r="E84" t="str">
        <f t="shared" si="4"/>
        <v>public static int EnemyGold;</v>
      </c>
      <c r="G84" t="str">
        <f t="shared" si="5"/>
        <v>EnemyGold=GameSettingData.EnemyGold;</v>
      </c>
    </row>
    <row r="85" spans="1:7" x14ac:dyDescent="0.25">
      <c r="A85" t="s">
        <v>183</v>
      </c>
      <c r="B85" s="5" t="s">
        <v>167</v>
      </c>
      <c r="C85" s="6">
        <v>80</v>
      </c>
      <c r="E85" t="str">
        <f t="shared" si="4"/>
        <v>public static int NoEquipWeight;</v>
      </c>
      <c r="G85" t="str">
        <f t="shared" si="5"/>
        <v>NoEquipWeight=GameSettingData.NoEquipWeight;</v>
      </c>
    </row>
    <row r="86" spans="1:7" x14ac:dyDescent="0.25">
      <c r="A86" t="s">
        <v>189</v>
      </c>
      <c r="B86" s="5" t="s">
        <v>184</v>
      </c>
      <c r="C86" s="6">
        <v>8</v>
      </c>
      <c r="E86" t="str">
        <f t="shared" si="4"/>
        <v>public static int EquipQuality1Weight;</v>
      </c>
      <c r="G86" t="str">
        <f t="shared" si="5"/>
        <v>EquipQuality1Weight=GameSettingData.EquipQuality1Weight;</v>
      </c>
    </row>
    <row r="87" spans="1:7" x14ac:dyDescent="0.25">
      <c r="A87" t="s">
        <v>190</v>
      </c>
      <c r="B87" s="5" t="s">
        <v>185</v>
      </c>
      <c r="C87" s="6">
        <v>6</v>
      </c>
      <c r="E87" t="str">
        <f t="shared" si="4"/>
        <v>public static int EquipQuality2Weight;</v>
      </c>
      <c r="G87" t="str">
        <f t="shared" si="5"/>
        <v>EquipQuality2Weight=GameSettingData.EquipQuality2Weight;</v>
      </c>
    </row>
    <row r="88" spans="1:7" x14ac:dyDescent="0.25">
      <c r="A88" t="s">
        <v>191</v>
      </c>
      <c r="B88" s="5" t="s">
        <v>186</v>
      </c>
      <c r="C88" s="6">
        <v>3</v>
      </c>
      <c r="E88" t="str">
        <f t="shared" si="4"/>
        <v>public static int EquipQuality3Weight;</v>
      </c>
      <c r="G88" t="str">
        <f t="shared" si="5"/>
        <v>EquipQuality3Weight=GameSettingData.EquipQuality3Weight;</v>
      </c>
    </row>
    <row r="89" spans="1:7" x14ac:dyDescent="0.25">
      <c r="A89" t="s">
        <v>192</v>
      </c>
      <c r="B89" s="5" t="s">
        <v>187</v>
      </c>
      <c r="C89" s="6">
        <v>2</v>
      </c>
      <c r="E89" t="str">
        <f t="shared" si="4"/>
        <v>public static int EquipQuality4Weight;</v>
      </c>
      <c r="G89" t="str">
        <f t="shared" si="5"/>
        <v>EquipQuality4Weight=GameSettingData.EquipQuality4Weight;</v>
      </c>
    </row>
    <row r="90" spans="1:7" x14ac:dyDescent="0.25">
      <c r="A90" t="s">
        <v>193</v>
      </c>
      <c r="B90" s="5" t="s">
        <v>188</v>
      </c>
      <c r="C90" s="6">
        <v>1</v>
      </c>
      <c r="E90" t="str">
        <f t="shared" si="4"/>
        <v>public static int EquipQuality5Weight;</v>
      </c>
      <c r="G90" t="str">
        <f t="shared" si="5"/>
        <v>EquipQuality5Weight=GameSettingData.EquipQuality5Weight;</v>
      </c>
    </row>
    <row r="91" spans="1:7" x14ac:dyDescent="0.25">
      <c r="A91" t="s">
        <v>209</v>
      </c>
      <c r="B91" s="9" t="s">
        <v>210</v>
      </c>
      <c r="C91" s="6">
        <v>0.05</v>
      </c>
      <c r="E91" t="str">
        <f>"public static float "&amp;A91&amp;";"</f>
        <v>public static float EnemyDropPotionProportion;</v>
      </c>
      <c r="G91" t="str">
        <f t="shared" ref="G91" si="6">A91&amp;"=GameSettingData."&amp;A91&amp;";"</f>
        <v>EnemyDropPotionProportion=GameSettingData.EnemyDropPotionProportion;</v>
      </c>
    </row>
    <row r="92" spans="1:7" x14ac:dyDescent="0.25">
      <c r="A92" t="s">
        <v>194</v>
      </c>
      <c r="B92" s="9" t="s">
        <v>182</v>
      </c>
      <c r="C92" s="6">
        <v>0.2</v>
      </c>
      <c r="E92" t="str">
        <f>"public static float "&amp;A92&amp;";"</f>
        <v>public static float EnemyDropGoldProportion;</v>
      </c>
      <c r="G92" t="str">
        <f t="shared" si="5"/>
        <v>EnemyDropGoldProportion=GameSettingData.EnemyDropGoldProportion;</v>
      </c>
    </row>
    <row r="93" spans="1:7" x14ac:dyDescent="0.25">
      <c r="A93" t="s">
        <v>195</v>
      </c>
      <c r="B93" s="9" t="s">
        <v>214</v>
      </c>
      <c r="C93" s="6">
        <v>5</v>
      </c>
      <c r="E93" t="str">
        <f t="shared" si="4"/>
        <v>public static int EnemyDropGold;</v>
      </c>
      <c r="G93" t="str">
        <f t="shared" si="5"/>
        <v>EnemyDropGold=GameSettingData.EnemyDropGold;</v>
      </c>
    </row>
    <row r="94" spans="1:7" x14ac:dyDescent="0.25">
      <c r="A94" t="s">
        <v>196</v>
      </c>
      <c r="B94" s="9" t="s">
        <v>197</v>
      </c>
      <c r="C94" s="6">
        <v>0.3</v>
      </c>
      <c r="E94" t="str">
        <f>"public static float "&amp;A94&amp;";"</f>
        <v>public static float EnemyDropGoldOffset;</v>
      </c>
      <c r="G94" t="str">
        <f t="shared" si="5"/>
        <v>EnemyDropGoldOffset=GameSettingData.EnemyDropGoldOffset;</v>
      </c>
    </row>
    <row r="95" spans="1:7" x14ac:dyDescent="0.25">
      <c r="A95" t="s">
        <v>205</v>
      </c>
      <c r="B95" s="9" t="s">
        <v>201</v>
      </c>
      <c r="C95" s="6">
        <v>1</v>
      </c>
      <c r="E95" t="str">
        <f t="shared" si="4"/>
        <v>public static int MaxEnemy;</v>
      </c>
      <c r="G95" t="str">
        <f t="shared" si="5"/>
        <v>MaxEnemy=GameSettingData.MaxEnemy;</v>
      </c>
    </row>
    <row r="96" spans="1:7" x14ac:dyDescent="0.25">
      <c r="A96" t="s">
        <v>206</v>
      </c>
      <c r="B96" s="9" t="s">
        <v>202</v>
      </c>
      <c r="C96" s="6">
        <v>1</v>
      </c>
      <c r="E96" t="str">
        <f t="shared" si="4"/>
        <v>public static int MaxLoot;</v>
      </c>
      <c r="G96" t="str">
        <f t="shared" si="5"/>
        <v>MaxLoot=GameSettingData.MaxLoot;</v>
      </c>
    </row>
    <row r="97" spans="1:7" x14ac:dyDescent="0.25">
      <c r="A97" t="s">
        <v>207</v>
      </c>
      <c r="B97" s="9" t="s">
        <v>203</v>
      </c>
      <c r="C97" s="6">
        <v>10</v>
      </c>
      <c r="E97" t="str">
        <f t="shared" si="4"/>
        <v>public static int FloorPlate;</v>
      </c>
      <c r="G97" t="str">
        <f t="shared" si="5"/>
        <v>FloorPlate=GameSettingData.FloorPlate;</v>
      </c>
    </row>
    <row r="98" spans="1:7" x14ac:dyDescent="0.25">
      <c r="A98" t="s">
        <v>208</v>
      </c>
      <c r="B98" s="9" t="s">
        <v>204</v>
      </c>
      <c r="C98" s="6">
        <v>1</v>
      </c>
      <c r="E98" t="str">
        <f t="shared" si="4"/>
        <v>public static int BossDebutPlate;</v>
      </c>
      <c r="G98" t="str">
        <f>A98&amp;"=GameSettingData."&amp;A98&amp;";"</f>
        <v>BossDebutPlate=GameSettingData.BossDebutPlate;</v>
      </c>
    </row>
    <row r="99" spans="1:7" x14ac:dyDescent="0.25">
      <c r="A99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2018-10-21T16:04:11Z</dcterms:modified>
</cp:coreProperties>
</file>