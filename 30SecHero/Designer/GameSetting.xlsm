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<sst xmlns="http://schemas.openxmlformats.org/spreadsheetml/2006/main" count="252" uniqueCount="249">
  <si>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</si>
  <si>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</si>
  <si>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</si>
  <si>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</si>
  <si>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</si>
  <si>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</si>
  <si>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</si>
  <si>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</si>
  <si>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</si>
  <si>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</si>
  <si>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</si>
  <si>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</si>
  <si>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</si>
  <si>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</si>
  <si>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</si>
  <si>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</si>
  <si>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</si>
  <si>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</si>
  <si>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</si>
  <si>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</si>
  <si>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</si>
  <si>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</si>
  <si>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</si>
  <si>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</si>
  <si>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</si>
  <si>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</si>
  <si>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</si>
  <si>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</si>
  <si>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</si>
  <si>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</si>
  <si>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</si>
  <si>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</si>
  <si>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</si>
  <si>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</si>
  <si>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</si>
  <si>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</si>
  <si>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</si>
  <si>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</si>
  <si>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</si>
  <si>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</si>
  <si>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</si>
  <si>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</si>
  <si>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</si>
  <si>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</si>
  <si>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</si>
  <si>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</si>
  <si>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</si>
  <si>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</si>
  <si>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</si>
  <si>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</si>
  <si>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</si>
  <si>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</si>
  <si>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</si>
  <si>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</si>
  <si>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</si>
  <si>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</si>
  <si>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</si>
  <si>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</si>
  <si>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</si>
  <si>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</si>
  <si>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</si>
  <si>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</si>
  <si>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</si>
  <si>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</si>
  <si>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</si>
  <si>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</si>
  <si>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</si>
  <si>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</si>
  <si>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</si>
  <si>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</si>
  <si>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</si>
  <si>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</si>
  <si>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</si>
  <si>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</si>
  <si>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</si>
  <si>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</si>
  <si>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</si>
  <si>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</si>
  <si>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</si>
  <si>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</si>
  <si>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</si>
  <si>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</si>
  <si>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</si>
  <si>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</si>
  <si>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</si>
  <si>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</si>
  <si>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</si>
  <si>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</si>
  <si>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</si>
  <si>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</si>
  <si>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</si>
  <si>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</si>
  <si>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</si>
  <si>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</si>
  <si>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</si>
  <si>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</si>
  <si>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</si>
  <si>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</si>
  <si>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</si>
  <si>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</si>
  <si>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</si>
  <si>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</si>
  <si>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</si>
  <si>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</si>
  <si>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</si>
  <si>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</si>
  <si>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</si>
  <si>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</si>
  <si>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</si>
  <si>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</si>
  <si>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</si>
  <si>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</si>
  <si>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</si>
  <si>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</si>
  <si>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</si>
  <si>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</si>
  <si>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</si>
  <si>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</si>
  <si>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</si>
  <si>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</si>
  <si>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</si>
  <si>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</si>
  <si>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</si>
  <si>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</si>
  <si>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</si>
  <si>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</si>
  <si>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</si>
  <si>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</si>
  <si>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</si>
  <si>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</si>
  <si>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</si>
  <si>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</si>
  <si>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</si>
  <si>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</si>
  <si>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</si>
  <si>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</si>
  <si>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</si>
  <si>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</si>
  <si>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</si>
  <si>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</si>
  <si>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</si>
  <si>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</si>
  <si>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</si>
  <si>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</si>
  <si>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</si>
  <si>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</si>
  <si>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</si>
  <si>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</si>
  <si>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</si>
  <si>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</si>
  <si>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</si>
  <si>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</si>
  <si>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</si>
  <si>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</si>
  <si>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</si>
  <si>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</si>
  <si>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</si>
  <si>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</si>
  <si>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</si>
  <si>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</si>
  <si>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</si>
  <si>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</si>
  <si>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</si>
  <si>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</si>
  <si>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</si>
  <si>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</si>
  <si>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</si>
  <si>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</si>
  <si>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</si>
  <si>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</si>
  <si>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</si>
  <si>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</si>
  <si>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</si>
  <si>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</si>
  <si>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</si>
  <si>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</si>
  <si>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</si>
  <si>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</si>
  <si>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</si>
  <si>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</si>
  <si>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</si>
  <si>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</si>
  <si>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</si>
  <si>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</si>
  <si>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</si>
  <si>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</si>
  <si>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</si>
  <si>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</si>
  <si>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</si>
  <si>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</si>
  <si>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</si>
  <si>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</si>
  <si>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</si>
  <si>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</si>
  <si>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</si>
  <si>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</si>
  <si>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</si>
  <si>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</si>
  <si>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</si>
  <si>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</si>
  <si>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</si>
  <si>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</si>
  <si>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</si>
  <si>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</si>
  <si>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</si>
  <si>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</si>
  <si>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</si>
  <si>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</si>
  <si>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</si>
  <si>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</si>
  <si>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</si>
  <si>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</si>
  <si>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</si>
  <si>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</si>
  <si>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</si>
  <si>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</si>
  <si>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</si>
  <si>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</si>
  <si>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</si>
  <si>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</si>
  <si>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</si>
  <si>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</si>
  <si>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</si>
  <si>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</si>
  <si>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</si>
  <si>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</si>
  <si>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</si>
  <si>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</si>
  <si>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</si>
  <si>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</si>
  <si>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</si>
  <si>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</si>
  <si>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</si>
  <si>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</si>
  <si>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</si>
  <si>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</si>
  <si>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</si>
  <si>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</si>
  <si>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</si>
  <si>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</si>
  <si>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</si>
  <si>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</si>
  <si>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</si>
  <si>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</si>
  <si>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</si>
  <si>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SkillAmmoDamage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</si>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</sst>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42" activePane="bottomRight" state="frozen"/>
      <selection pane="topRight" activeCell="C1" sqref="C1"/>
      <selection pane="bottomLeft" activeCell="A3" sqref="A3"/>
      <selection pane="bottomRight" activeCell="D52" sqref="D52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4</v>
      </c>
    </row>
    <row r="4" spans="1:3" x14ac:dyDescent="0.25">
      <c r="A4" t="s">
        <v>42</v>
      </c>
      <c r="B4" t="s">
        <v>27</v>
      </c>
      <c r="C4">
        <v>2</v>
      </c>
    </row>
    <row r="5" spans="1:3" x14ac:dyDescent="0.25">
      <c r="A5" t="s">
        <v>60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212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15</v>
      </c>
    </row>
    <row r="12" spans="1:3" x14ac:dyDescent="0.25">
      <c r="A12" t="s">
        <v>49</v>
      </c>
      <c r="B12" t="s">
        <v>29</v>
      </c>
      <c r="C12">
        <v>7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233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244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1.5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20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40</v>
      </c>
      <c r="E26" t="str">
        <f t="shared" si="0"/>
        <v>public static float RandomMaxMoveSpeed;</v>
      </c>
    </row>
    <row r="27" spans="1:5" x14ac:dyDescent="0.25">
      <c r="A27" t="s">
        <v>247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183</v>
      </c>
      <c r="B28" t="s">
        <v>181</v>
      </c>
      <c r="C28">
        <v>2</v>
      </c>
      <c r="E28" t="str">
        <f t="shared" si="0"/>
        <v>public static float RandomAvatarTime;</v>
      </c>
    </row>
    <row r="29" spans="1:5" x14ac:dyDescent="0.25">
      <c r="A29" t="s">
        <v>184</v>
      </c>
      <c r="B29" t="s">
        <v>182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248</v>
      </c>
      <c r="B30" t="s">
        <v>191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190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224</v>
      </c>
      <c r="B32" t="s">
        <v>188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221</v>
      </c>
      <c r="B33" t="s">
        <v>223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225</v>
      </c>
      <c r="B34" t="s">
        <v>195</v>
      </c>
      <c r="C34">
        <v>0.05</v>
      </c>
      <c r="E34" t="str">
        <f t="shared" si="0"/>
        <v>public static float RandomBloodThirsty;</v>
      </c>
    </row>
    <row r="35" spans="1:7" x14ac:dyDescent="0.25">
      <c r="A35" t="s">
        <v>226</v>
      </c>
      <c r="B35" t="s">
        <v>222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94</v>
      </c>
    </row>
    <row r="37" spans="1:7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62</v>
      </c>
      <c r="B38" t="s">
        <v>63</v>
      </c>
      <c r="C38" t="s">
        <v>68</v>
      </c>
    </row>
    <row r="39" spans="1:7" x14ac:dyDescent="0.25">
      <c r="A39" t="s">
        <v>66</v>
      </c>
      <c r="B39" t="s">
        <v>64</v>
      </c>
      <c r="C39" t="s">
        <v>69</v>
      </c>
    </row>
    <row r="40" spans="1:7" x14ac:dyDescent="0.25">
      <c r="A40" t="s">
        <v>67</v>
      </c>
      <c r="B40" t="s">
        <v>65</v>
      </c>
      <c r="C40" t="s">
        <v>70</v>
      </c>
    </row>
    <row r="41" spans="1:7" x14ac:dyDescent="0.25">
      <c r="A41" t="s">
        <v>71</v>
      </c>
      <c r="B41" t="s">
        <v>72</v>
      </c>
      <c r="C41" t="s">
        <v>74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73</v>
      </c>
      <c r="B42" t="s">
        <v>85</v>
      </c>
      <c r="C42" t="s">
        <v>86</v>
      </c>
      <c r="E42" t="str">
        <f t="shared" si="2"/>
        <v>public static float EquipPath;</v>
      </c>
    </row>
    <row r="43" spans="1:7" x14ac:dyDescent="0.25">
      <c r="A43" t="s">
        <v>89</v>
      </c>
      <c r="B43" t="s">
        <v>87</v>
      </c>
      <c r="C43" t="s">
        <v>90</v>
      </c>
      <c r="E43" t="str">
        <f t="shared" si="2"/>
        <v>public static float ArmorPath;</v>
      </c>
    </row>
    <row r="44" spans="1:7" x14ac:dyDescent="0.25">
      <c r="A44" t="s">
        <v>203</v>
      </c>
      <c r="B44" t="s">
        <v>88</v>
      </c>
      <c r="C44" t="s">
        <v>91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201</v>
      </c>
      <c r="B45" t="s">
        <v>202</v>
      </c>
      <c r="C45" t="s">
        <v>217</v>
      </c>
      <c r="E45" t="str">
        <f t="shared" si="3"/>
        <v>public static float SoulPath;</v>
      </c>
    </row>
    <row r="46" spans="1:7" x14ac:dyDescent="0.25">
      <c r="A46" t="s">
        <v>220</v>
      </c>
      <c r="B46" t="s">
        <v>219</v>
      </c>
      <c r="C46" t="s">
        <v>218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153</v>
      </c>
    </row>
    <row r="48" spans="1:7" x14ac:dyDescent="0.25">
      <c r="A48" t="s">
        <v>170</v>
      </c>
      <c r="B48" s="4" t="s">
        <v>104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105</v>
      </c>
      <c r="B49" s="4" t="s">
        <v>213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106</v>
      </c>
      <c r="B50" s="4" t="s">
        <v>103</v>
      </c>
      <c r="C50">
        <v>800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107</v>
      </c>
      <c r="B51" s="4" t="s">
        <v>214</v>
      </c>
      <c r="C51">
        <v>100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95</v>
      </c>
      <c r="B52" s="4" t="s">
        <v>96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108</v>
      </c>
      <c r="B53" s="4" t="s">
        <v>175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100</v>
      </c>
      <c r="B54" s="4" t="s">
        <v>97</v>
      </c>
      <c r="C54">
        <v>80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171</v>
      </c>
      <c r="B55" s="4" t="s">
        <v>98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109</v>
      </c>
      <c r="B56" s="4" t="s">
        <v>99</v>
      </c>
      <c r="C56">
        <v>400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110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185</v>
      </c>
      <c r="B58" s="4" t="s">
        <v>186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111</v>
      </c>
      <c r="B59" t="s">
        <v>192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112</v>
      </c>
      <c r="B60" t="s">
        <v>190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113</v>
      </c>
      <c r="B61" s="4" t="s">
        <v>188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193</v>
      </c>
      <c r="B62" s="4" t="s">
        <v>189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114</v>
      </c>
      <c r="B63" s="4" t="s">
        <v>194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115</v>
      </c>
      <c r="B64" s="4" t="s">
        <v>180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102</v>
      </c>
      <c r="B65" s="4" t="s">
        <v>101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205</v>
      </c>
      <c r="B66" s="4" t="s">
        <v>204</v>
      </c>
      <c r="C66">
        <v>2.5</v>
      </c>
      <c r="E66" t="str">
        <f t="shared" si="2"/>
        <v>public static float RushCD;</v>
      </c>
    </row>
    <row r="67" spans="1:7" x14ac:dyDescent="0.25">
      <c r="A67" t="s">
        <v>239</v>
      </c>
      <c r="B67" s="4" t="s">
        <v>227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229</v>
      </c>
      <c r="B68" s="4" t="s">
        <v>228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245</v>
      </c>
      <c r="B69" s="4" t="s">
        <v>240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152</v>
      </c>
    </row>
    <row r="71" spans="1:7" x14ac:dyDescent="0.25">
      <c r="A71" t="s">
        <v>78</v>
      </c>
      <c r="B71" t="s">
        <v>77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80</v>
      </c>
      <c r="B72" t="s">
        <v>82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84</v>
      </c>
      <c r="B73" t="s">
        <v>83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81</v>
      </c>
      <c r="B74" t="s">
        <v>79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93</v>
      </c>
    </row>
    <row r="76" spans="1:7" x14ac:dyDescent="0.25">
      <c r="A76" t="s">
        <v>151</v>
      </c>
      <c r="B76" s="7" t="s">
        <v>122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124</v>
      </c>
      <c r="B77" s="7" t="s">
        <v>123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125</v>
      </c>
      <c r="B78" s="7" t="s">
        <v>75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126</v>
      </c>
      <c r="B79" s="7" t="s">
        <v>76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127</v>
      </c>
      <c r="B80" s="7" t="s">
        <v>118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129</v>
      </c>
      <c r="B81" s="7" t="s">
        <v>117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128</v>
      </c>
      <c r="B82" s="7" t="s">
        <v>119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130</v>
      </c>
      <c r="B83" s="7" t="s">
        <v>120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131</v>
      </c>
      <c r="B84" s="7" t="s">
        <v>121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243</v>
      </c>
      <c r="B85" s="7" t="s">
        <v>230</v>
      </c>
      <c r="C85">
        <v>20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232</v>
      </c>
      <c r="B86" s="7" t="s">
        <v>231</v>
      </c>
      <c r="C86">
        <v>40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133</v>
      </c>
      <c r="B87" s="7" t="s">
        <v>116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132</v>
      </c>
      <c r="B88" s="7" t="s">
        <v>241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242</v>
      </c>
      <c r="B89" s="7" t="s">
        <v>246</v>
      </c>
      <c r="C89">
        <v>3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134</v>
      </c>
      <c r="B90" s="7" t="s">
        <v>162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136</v>
      </c>
      <c r="B91" s="8" t="s">
        <v>187</v>
      </c>
      <c r="C91" s="5">
        <v>1800</v>
      </c>
      <c r="E91" t="str">
        <f t="shared" si="6"/>
        <v>public static int NoEquipWeight;</v>
      </c>
      <c r="G91" s="5">
        <v>1800</v>
      </c>
      <c r="I91" s="9">
        <f>G91/SUM(G$91:G$96)</f>
        <v>0.94936708860759489</v>
      </c>
    </row>
    <row r="92" spans="1:9" x14ac:dyDescent="0.25">
      <c r="A92" t="s">
        <v>142</v>
      </c>
      <c r="B92" s="8" t="s">
        <v>137</v>
      </c>
      <c r="C92" s="5">
        <v>50</v>
      </c>
      <c r="E92" t="str">
        <f t="shared" si="6"/>
        <v>public static int EquipQuality1Weight;</v>
      </c>
      <c r="G92" s="5">
        <v>50</v>
      </c>
      <c r="I92" s="9">
        <f t="shared" ref="I92:I96" si="7">G92/SUM(G$91:G$96)</f>
        <v>2.6371308016877638E-2</v>
      </c>
    </row>
    <row r="93" spans="1:9" x14ac:dyDescent="0.25">
      <c r="A93" t="s">
        <v>143</v>
      </c>
      <c r="B93" s="8" t="s">
        <v>138</v>
      </c>
      <c r="C93" s="5">
        <v>25</v>
      </c>
      <c r="E93" t="str">
        <f t="shared" si="6"/>
        <v>public static int EquipQuality2Weight;</v>
      </c>
      <c r="G93" s="5">
        <v>25</v>
      </c>
      <c r="I93" s="9">
        <f t="shared" si="7"/>
        <v>1.3185654008438819E-2</v>
      </c>
    </row>
    <row r="94" spans="1:9" x14ac:dyDescent="0.25">
      <c r="A94" t="s">
        <v>144</v>
      </c>
      <c r="B94" s="8" t="s">
        <v>139</v>
      </c>
      <c r="C94" s="5">
        <v>12</v>
      </c>
      <c r="E94" t="str">
        <f t="shared" si="6"/>
        <v>public static int EquipQuality3Weight;</v>
      </c>
      <c r="G94" s="5">
        <v>12</v>
      </c>
      <c r="I94" s="9">
        <f t="shared" si="7"/>
        <v>6.3291139240506328E-3</v>
      </c>
    </row>
    <row r="95" spans="1:9" x14ac:dyDescent="0.25">
      <c r="A95" t="s">
        <v>145</v>
      </c>
      <c r="B95" s="8" t="s">
        <v>140</v>
      </c>
      <c r="C95" s="5">
        <v>6</v>
      </c>
      <c r="E95" t="str">
        <f t="shared" si="6"/>
        <v>public static int EquipQuality4Weight;</v>
      </c>
      <c r="G95" s="5">
        <v>6</v>
      </c>
      <c r="I95" s="9">
        <f t="shared" si="7"/>
        <v>3.1645569620253164E-3</v>
      </c>
    </row>
    <row r="96" spans="1:9" x14ac:dyDescent="0.25">
      <c r="A96" t="s">
        <v>146</v>
      </c>
      <c r="B96" s="8" t="s">
        <v>141</v>
      </c>
      <c r="C96" s="5">
        <v>3</v>
      </c>
      <c r="E96" t="str">
        <f t="shared" si="6"/>
        <v>public static int EquipQuality5Weight;</v>
      </c>
      <c r="G96" s="5">
        <v>3</v>
      </c>
      <c r="I96" s="9">
        <f t="shared" si="7"/>
        <v>1.5822784810126582E-3</v>
      </c>
    </row>
    <row r="97" spans="1:7" x14ac:dyDescent="0.25">
      <c r="A97" t="s">
        <v>167</v>
      </c>
      <c r="B97" s="8" t="s">
        <v>164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168</v>
      </c>
      <c r="B98" s="8" t="s">
        <v>166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169</v>
      </c>
      <c r="B99" s="8" t="s">
        <v>165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160</v>
      </c>
      <c r="B100" s="8" t="s">
        <v>161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147</v>
      </c>
      <c r="B101" s="8" t="s">
        <v>135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148</v>
      </c>
      <c r="B102" s="8" t="s">
        <v>163</v>
      </c>
      <c r="C102" s="5">
        <v>2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149</v>
      </c>
      <c r="B103" s="8" t="s">
        <v>150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200</v>
      </c>
      <c r="B104" s="8" t="s">
        <v>154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158</v>
      </c>
      <c r="B105" s="8" t="s">
        <v>155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196</v>
      </c>
      <c r="B106" s="8" t="s">
        <v>198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197</v>
      </c>
      <c r="B107" s="8" t="s">
        <v>199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234</v>
      </c>
      <c r="B108" s="8" t="s">
        <v>156</v>
      </c>
      <c r="C108" s="5">
        <v>15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235</v>
      </c>
      <c r="B109" s="8" t="s">
        <v>236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238</v>
      </c>
      <c r="B110" s="8" t="s">
        <v>237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159</v>
      </c>
      <c r="B111" s="8" t="s">
        <v>157</v>
      </c>
      <c r="C111" s="5">
        <v>5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206</v>
      </c>
      <c r="B112" s="8" t="s">
        <v>207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208</v>
      </c>
      <c r="B113" s="8" t="s">
        <v>209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210</v>
      </c>
      <c r="B114" s="8" t="s">
        <v>215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211</v>
      </c>
      <c r="B115" s="8" t="s">
        <v>216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2019-01-08T09:03:02Z</dcterms:modified>
</cp:coreProperties>
</file>