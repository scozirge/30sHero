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30" windowWidth="14805" windowHeight="688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09" i="1" l="1"/>
  <c r="E108" i="1"/>
  <c r="E107" i="1" l="1"/>
  <c r="E106" i="1"/>
  <c r="E65" i="1" l="1"/>
  <c r="E45" i="1" l="1"/>
  <c r="E103" i="1" l="1"/>
  <c r="E102" i="1"/>
  <c r="E23" i="1" l="1"/>
  <c r="E95" i="1" l="1"/>
  <c r="E94" i="1"/>
  <c r="E93" i="1"/>
  <c r="E96" i="1" l="1"/>
  <c r="E105" i="1"/>
  <c r="E104" i="1"/>
  <c r="E101" i="1"/>
  <c r="E100" i="1"/>
  <c r="E73" i="1"/>
  <c r="E99" i="1"/>
  <c r="E97" i="1"/>
  <c r="E83" i="1"/>
  <c r="E75" i="1"/>
  <c r="E98" i="1"/>
  <c r="E92" i="1"/>
  <c r="E91" i="1"/>
  <c r="E90" i="1"/>
  <c r="E89" i="1"/>
  <c r="E88" i="1"/>
  <c r="E87" i="1"/>
  <c r="E86" i="1"/>
  <c r="E85" i="1"/>
  <c r="E84" i="1"/>
  <c r="E82" i="1"/>
  <c r="E81" i="1"/>
  <c r="E80" i="1"/>
  <c r="E79" i="1"/>
  <c r="E78" i="1"/>
  <c r="E77" i="1"/>
  <c r="E76" i="1"/>
  <c r="E74" i="1"/>
  <c r="E72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9" i="1" l="1"/>
  <c r="E70" i="1"/>
  <c r="E68" i="1"/>
  <c r="E67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<sst xmlns="http://schemas.openxmlformats.org/spreadsheetml/2006/main" count="239" uniqueCount="236">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</sst>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10"/>
  <sheetViews>
    <sheetView tabSelected="1"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B48" sqref="B4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65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231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191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192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193</v>
      </c>
      <c r="C22">
        <v>1</v>
      </c>
      <c r="E22" t="str">
        <f t="shared" si="0"/>
        <v>public static float RandomShield;</v>
      </c>
    </row>
    <row r="23" spans="1:5" x14ac:dyDescent="0.25">
      <c r="A23" t="s">
        <v>187</v>
      </c>
      <c r="B23" t="s">
        <v>190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186</v>
      </c>
      <c r="B24" t="s">
        <v>188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185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198</v>
      </c>
      <c r="B28" t="s">
        <v>195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199</v>
      </c>
      <c r="B29" t="s">
        <v>197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209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208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204</v>
      </c>
      <c r="B32" t="s">
        <v>203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205</v>
      </c>
      <c r="B33" t="s">
        <v>206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63</v>
      </c>
      <c r="B34" t="s">
        <v>213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64</v>
      </c>
      <c r="B35" t="s">
        <v>196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99</v>
      </c>
    </row>
    <row r="37" spans="1:7" x14ac:dyDescent="0.25">
      <c r="A37" t="s">
        <v>97</v>
      </c>
      <c r="B37" t="s">
        <v>66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67</v>
      </c>
      <c r="B38" t="s">
        <v>68</v>
      </c>
      <c r="C38" t="s">
        <v>73</v>
      </c>
    </row>
    <row r="39" spans="1:7" x14ac:dyDescent="0.25">
      <c r="A39" t="s">
        <v>71</v>
      </c>
      <c r="B39" t="s">
        <v>69</v>
      </c>
      <c r="C39" t="s">
        <v>74</v>
      </c>
    </row>
    <row r="40" spans="1:7" x14ac:dyDescent="0.25">
      <c r="A40" t="s">
        <v>72</v>
      </c>
      <c r="B40" t="s">
        <v>70</v>
      </c>
      <c r="C40" t="s">
        <v>75</v>
      </c>
    </row>
    <row r="41" spans="1:7" x14ac:dyDescent="0.25">
      <c r="A41" t="s">
        <v>76</v>
      </c>
      <c r="B41" t="s">
        <v>77</v>
      </c>
      <c r="C41" t="s">
        <v>79</v>
      </c>
      <c r="E41" t="str">
        <f t="shared" ref="E41:E70" si="2">"public static float "&amp;A41&amp;";"</f>
        <v>public static float StrengthenPath;</v>
      </c>
    </row>
    <row r="42" spans="1:7" x14ac:dyDescent="0.25">
      <c r="A42" t="s">
        <v>78</v>
      </c>
      <c r="B42" t="s">
        <v>90</v>
      </c>
      <c r="C42" t="s">
        <v>91</v>
      </c>
      <c r="E42" t="str">
        <f t="shared" si="2"/>
        <v>public static float EquipPath;</v>
      </c>
    </row>
    <row r="43" spans="1:7" x14ac:dyDescent="0.25">
      <c r="A43" t="s">
        <v>94</v>
      </c>
      <c r="B43" t="s">
        <v>92</v>
      </c>
      <c r="C43" t="s">
        <v>95</v>
      </c>
      <c r="E43" t="str">
        <f t="shared" si="2"/>
        <v>public static float ArmorPath;</v>
      </c>
    </row>
    <row r="44" spans="1:7" x14ac:dyDescent="0.25">
      <c r="A44" t="s">
        <v>221</v>
      </c>
      <c r="B44" t="s">
        <v>93</v>
      </c>
      <c r="C44" t="s">
        <v>96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219</v>
      </c>
      <c r="B45" t="s">
        <v>220</v>
      </c>
      <c r="C45" t="s">
        <v>222</v>
      </c>
      <c r="E45" t="str">
        <f t="shared" si="3"/>
        <v>public static float SoulPath;</v>
      </c>
    </row>
    <row r="46" spans="1:7" s="2" customFormat="1" x14ac:dyDescent="0.25">
      <c r="B46" s="6" t="s">
        <v>163</v>
      </c>
    </row>
    <row r="47" spans="1:7" x14ac:dyDescent="0.25">
      <c r="A47" t="s">
        <v>183</v>
      </c>
      <c r="B47" s="4" t="s">
        <v>109</v>
      </c>
      <c r="C47">
        <v>200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110</v>
      </c>
      <c r="B48" s="4" t="s">
        <v>232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111</v>
      </c>
      <c r="B49" s="4" t="s">
        <v>108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112</v>
      </c>
      <c r="B50" s="4" t="s">
        <v>233</v>
      </c>
      <c r="C50">
        <v>30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100</v>
      </c>
      <c r="B51" s="4" t="s">
        <v>101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113</v>
      </c>
      <c r="B52" s="4" t="s">
        <v>189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105</v>
      </c>
      <c r="B53" s="4" t="s">
        <v>102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184</v>
      </c>
      <c r="B54" s="4" t="s">
        <v>103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114</v>
      </c>
      <c r="B55" s="4" t="s">
        <v>104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115</v>
      </c>
      <c r="B56" s="4" t="s">
        <v>9</v>
      </c>
      <c r="C56">
        <v>60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200</v>
      </c>
      <c r="B57" s="4" t="s">
        <v>201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116</v>
      </c>
      <c r="B58" t="s">
        <v>210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117</v>
      </c>
      <c r="B59" t="s">
        <v>208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118</v>
      </c>
      <c r="B60" s="4" t="s">
        <v>203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211</v>
      </c>
      <c r="B61" s="4" t="s">
        <v>207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119</v>
      </c>
      <c r="B62" s="4" t="s">
        <v>212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120</v>
      </c>
      <c r="B63" s="4" t="s">
        <v>194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107</v>
      </c>
      <c r="B64" s="4" t="s">
        <v>106</v>
      </c>
      <c r="C64">
        <v>0</v>
      </c>
      <c r="E64" t="str">
        <f t="shared" si="2"/>
        <v>public static float PotionDrop;</v>
      </c>
      <c r="G64">
        <v>0</v>
      </c>
    </row>
    <row r="65" spans="1:7" x14ac:dyDescent="0.25">
      <c r="A65" t="s">
        <v>224</v>
      </c>
      <c r="B65" s="4" t="s">
        <v>223</v>
      </c>
      <c r="C65">
        <v>1.5</v>
      </c>
      <c r="E65" t="str">
        <f t="shared" si="2"/>
        <v>public static float RushCD;</v>
      </c>
    </row>
    <row r="66" spans="1:7" s="2" customFormat="1" x14ac:dyDescent="0.25">
      <c r="B66" s="6" t="s">
        <v>162</v>
      </c>
    </row>
    <row r="67" spans="1:7" x14ac:dyDescent="0.25">
      <c r="A67" t="s">
        <v>83</v>
      </c>
      <c r="B67" t="s">
        <v>82</v>
      </c>
      <c r="C67">
        <v>0.5</v>
      </c>
      <c r="E67" t="str">
        <f t="shared" si="2"/>
        <v>public static float FreezeMove;</v>
      </c>
      <c r="G67">
        <v>0.5</v>
      </c>
    </row>
    <row r="68" spans="1:7" x14ac:dyDescent="0.25">
      <c r="A68" t="s">
        <v>85</v>
      </c>
      <c r="B68" t="s">
        <v>87</v>
      </c>
      <c r="C68">
        <v>0.01</v>
      </c>
      <c r="E68" t="str">
        <f t="shared" si="2"/>
        <v>public static float BurnDamage;</v>
      </c>
      <c r="G68">
        <v>0.01</v>
      </c>
    </row>
    <row r="69" spans="1:7" x14ac:dyDescent="0.25">
      <c r="A69" t="s">
        <v>89</v>
      </c>
      <c r="B69" t="s">
        <v>88</v>
      </c>
      <c r="C69">
        <v>0.5</v>
      </c>
      <c r="E69" t="str">
        <f t="shared" ref="E69" si="4">"public static float "&amp;A69&amp;";"</f>
        <v>public static float BurnInterval;</v>
      </c>
      <c r="G69">
        <v>0.5</v>
      </c>
    </row>
    <row r="70" spans="1:7" x14ac:dyDescent="0.25">
      <c r="A70" t="s">
        <v>86</v>
      </c>
      <c r="B70" t="s">
        <v>84</v>
      </c>
      <c r="C70">
        <v>0.5</v>
      </c>
      <c r="E70" t="str">
        <f t="shared" si="2"/>
        <v>public static float CurseDamageReduce;</v>
      </c>
      <c r="G70">
        <v>0.5</v>
      </c>
    </row>
    <row r="71" spans="1:7" s="2" customFormat="1" x14ac:dyDescent="0.25">
      <c r="B71" s="6" t="s">
        <v>98</v>
      </c>
    </row>
    <row r="72" spans="1:7" x14ac:dyDescent="0.25">
      <c r="A72" t="s">
        <v>161</v>
      </c>
      <c r="B72" s="7" t="s">
        <v>129</v>
      </c>
      <c r="C72">
        <v>10</v>
      </c>
      <c r="E72" t="str">
        <f t="shared" ref="E72:E106" si="5">"public static int "&amp;A72&amp;";"</f>
        <v>public static int PotionInterval;</v>
      </c>
      <c r="G72">
        <v>10</v>
      </c>
    </row>
    <row r="73" spans="1:7" x14ac:dyDescent="0.25">
      <c r="A73" t="s">
        <v>131</v>
      </c>
      <c r="B73" s="7" t="s">
        <v>130</v>
      </c>
      <c r="C73">
        <v>0.5</v>
      </c>
      <c r="E73" t="str">
        <f>"public static float "&amp;A73&amp;";"</f>
        <v>public static float PotionProportion;</v>
      </c>
      <c r="G73">
        <v>0.5</v>
      </c>
    </row>
    <row r="74" spans="1:7" x14ac:dyDescent="0.25">
      <c r="A74" t="s">
        <v>132</v>
      </c>
      <c r="B74" s="7" t="s">
        <v>80</v>
      </c>
      <c r="C74">
        <v>3</v>
      </c>
      <c r="E74" t="str">
        <f t="shared" si="5"/>
        <v>public static int EnemyFirstHalfInterval;</v>
      </c>
      <c r="G74">
        <v>1.5</v>
      </c>
    </row>
    <row r="75" spans="1:7" x14ac:dyDescent="0.25">
      <c r="A75" t="s">
        <v>133</v>
      </c>
      <c r="B75" s="7" t="s">
        <v>81</v>
      </c>
      <c r="C75">
        <v>2</v>
      </c>
      <c r="E75" t="str">
        <f>"public static float "&amp;A75&amp;";"</f>
        <v>public static float EnemySecondHalfInterval;</v>
      </c>
      <c r="G75">
        <v>1</v>
      </c>
    </row>
    <row r="76" spans="1:7" x14ac:dyDescent="0.25">
      <c r="A76" t="s">
        <v>134</v>
      </c>
      <c r="B76" s="7" t="s">
        <v>125</v>
      </c>
      <c r="C76">
        <v>1</v>
      </c>
      <c r="E76" t="str">
        <f t="shared" si="5"/>
        <v>public static int EnemyFirstHalfMinCount;</v>
      </c>
      <c r="G76">
        <v>3</v>
      </c>
    </row>
    <row r="77" spans="1:7" x14ac:dyDescent="0.25">
      <c r="A77" t="s">
        <v>136</v>
      </c>
      <c r="B77" s="7" t="s">
        <v>124</v>
      </c>
      <c r="C77">
        <v>2</v>
      </c>
      <c r="E77" t="str">
        <f t="shared" si="5"/>
        <v>public static int EnemyFirstHalfMaxCount;</v>
      </c>
      <c r="G77">
        <v>5</v>
      </c>
    </row>
    <row r="78" spans="1:7" x14ac:dyDescent="0.25">
      <c r="A78" t="s">
        <v>135</v>
      </c>
      <c r="B78" s="7" t="s">
        <v>126</v>
      </c>
      <c r="C78">
        <v>1</v>
      </c>
      <c r="E78" t="str">
        <f t="shared" si="5"/>
        <v>public static int EnemySecondHalfMinCount;</v>
      </c>
      <c r="G78">
        <v>5</v>
      </c>
    </row>
    <row r="79" spans="1:7" x14ac:dyDescent="0.25">
      <c r="A79" t="s">
        <v>137</v>
      </c>
      <c r="B79" s="7" t="s">
        <v>127</v>
      </c>
      <c r="C79">
        <v>3</v>
      </c>
      <c r="E79" t="str">
        <f t="shared" si="5"/>
        <v>public static int EnemySecondHalfMaxCount;</v>
      </c>
      <c r="G79">
        <v>6</v>
      </c>
    </row>
    <row r="80" spans="1:7" x14ac:dyDescent="0.25">
      <c r="A80" t="s">
        <v>138</v>
      </c>
      <c r="B80" s="7" t="s">
        <v>128</v>
      </c>
      <c r="C80">
        <v>1</v>
      </c>
      <c r="E80" t="str">
        <f t="shared" si="5"/>
        <v>public static int EnemySpawnInterval;</v>
      </c>
      <c r="G80">
        <v>0.2</v>
      </c>
    </row>
    <row r="81" spans="1:7" x14ac:dyDescent="0.25">
      <c r="A81" t="s">
        <v>139</v>
      </c>
      <c r="B81" s="7" t="s">
        <v>121</v>
      </c>
      <c r="C81">
        <v>10</v>
      </c>
      <c r="E81" t="str">
        <f t="shared" si="5"/>
        <v>public static int FloorPassGold;</v>
      </c>
      <c r="G81">
        <v>100</v>
      </c>
    </row>
    <row r="82" spans="1:7" x14ac:dyDescent="0.25">
      <c r="A82" t="s">
        <v>140</v>
      </c>
      <c r="B82" s="7" t="s">
        <v>122</v>
      </c>
      <c r="C82">
        <v>30</v>
      </c>
      <c r="E82" t="str">
        <f t="shared" si="5"/>
        <v>public static int NewFloorPassGold;</v>
      </c>
      <c r="G82">
        <v>300</v>
      </c>
    </row>
    <row r="83" spans="1:7" x14ac:dyDescent="0.25">
      <c r="A83" t="s">
        <v>142</v>
      </c>
      <c r="B83" s="7" t="s">
        <v>123</v>
      </c>
      <c r="C83">
        <v>0.2</v>
      </c>
      <c r="E83" t="str">
        <f>"public static float "&amp;A83&amp;";"</f>
        <v>public static float BossEmeraldProportion;</v>
      </c>
      <c r="G83">
        <v>0.2</v>
      </c>
    </row>
    <row r="84" spans="1:7" x14ac:dyDescent="0.25">
      <c r="A84" t="s">
        <v>141</v>
      </c>
      <c r="B84" s="7" t="s">
        <v>174</v>
      </c>
      <c r="C84">
        <v>2</v>
      </c>
      <c r="E84" t="str">
        <f t="shared" si="5"/>
        <v>public static int BossEmerald;</v>
      </c>
      <c r="G84">
        <v>2</v>
      </c>
    </row>
    <row r="85" spans="1:7" x14ac:dyDescent="0.25">
      <c r="A85" t="s">
        <v>143</v>
      </c>
      <c r="B85" s="7" t="s">
        <v>175</v>
      </c>
      <c r="C85">
        <v>10</v>
      </c>
      <c r="E85" t="str">
        <f t="shared" si="5"/>
        <v>public static int NewBossEmerald;</v>
      </c>
      <c r="G85">
        <v>10</v>
      </c>
    </row>
    <row r="86" spans="1:7" x14ac:dyDescent="0.25">
      <c r="A86" t="s">
        <v>144</v>
      </c>
      <c r="B86" s="7" t="s">
        <v>173</v>
      </c>
      <c r="C86">
        <v>5</v>
      </c>
      <c r="E86" t="str">
        <f t="shared" si="5"/>
        <v>public static int EnemyGold;</v>
      </c>
      <c r="G86">
        <v>5</v>
      </c>
    </row>
    <row r="87" spans="1:7" x14ac:dyDescent="0.25">
      <c r="A87" t="s">
        <v>146</v>
      </c>
      <c r="B87" s="8" t="s">
        <v>202</v>
      </c>
      <c r="C87" s="5">
        <v>80</v>
      </c>
      <c r="E87" t="str">
        <f t="shared" si="5"/>
        <v>public static int NoEquipWeight;</v>
      </c>
      <c r="G87" s="5">
        <v>80</v>
      </c>
    </row>
    <row r="88" spans="1:7" x14ac:dyDescent="0.25">
      <c r="A88" t="s">
        <v>152</v>
      </c>
      <c r="B88" s="8" t="s">
        <v>147</v>
      </c>
      <c r="C88" s="5">
        <v>8</v>
      </c>
      <c r="E88" t="str">
        <f t="shared" si="5"/>
        <v>public static int EquipQuality1Weight;</v>
      </c>
      <c r="G88" s="5">
        <v>8</v>
      </c>
    </row>
    <row r="89" spans="1:7" x14ac:dyDescent="0.25">
      <c r="A89" t="s">
        <v>153</v>
      </c>
      <c r="B89" s="8" t="s">
        <v>148</v>
      </c>
      <c r="C89" s="5">
        <v>6</v>
      </c>
      <c r="E89" t="str">
        <f t="shared" si="5"/>
        <v>public static int EquipQuality2Weight;</v>
      </c>
      <c r="G89" s="5">
        <v>6</v>
      </c>
    </row>
    <row r="90" spans="1:7" x14ac:dyDescent="0.25">
      <c r="A90" t="s">
        <v>154</v>
      </c>
      <c r="B90" s="8" t="s">
        <v>149</v>
      </c>
      <c r="C90" s="5">
        <v>3</v>
      </c>
      <c r="E90" t="str">
        <f t="shared" si="5"/>
        <v>public static int EquipQuality3Weight;</v>
      </c>
      <c r="G90" s="5">
        <v>3</v>
      </c>
    </row>
    <row r="91" spans="1:7" x14ac:dyDescent="0.25">
      <c r="A91" t="s">
        <v>155</v>
      </c>
      <c r="B91" s="8" t="s">
        <v>150</v>
      </c>
      <c r="C91" s="5">
        <v>2</v>
      </c>
      <c r="E91" t="str">
        <f t="shared" si="5"/>
        <v>public static int EquipQuality4Weight;</v>
      </c>
      <c r="G91" s="5">
        <v>2</v>
      </c>
    </row>
    <row r="92" spans="1:7" x14ac:dyDescent="0.25">
      <c r="A92" t="s">
        <v>156</v>
      </c>
      <c r="B92" s="8" t="s">
        <v>151</v>
      </c>
      <c r="C92" s="5">
        <v>1</v>
      </c>
      <c r="E92" t="str">
        <f t="shared" si="5"/>
        <v>public static int EquipQuality5Weight;</v>
      </c>
      <c r="G92" s="5">
        <v>1</v>
      </c>
    </row>
    <row r="93" spans="1:7" x14ac:dyDescent="0.25">
      <c r="A93" t="s">
        <v>180</v>
      </c>
      <c r="B93" s="8" t="s">
        <v>177</v>
      </c>
      <c r="C93" s="5">
        <v>1</v>
      </c>
      <c r="E93" t="str">
        <f t="shared" si="5"/>
        <v>public static int DropWeaponWeight;</v>
      </c>
      <c r="G93" s="5">
        <v>1</v>
      </c>
    </row>
    <row r="94" spans="1:7" x14ac:dyDescent="0.25">
      <c r="A94" t="s">
        <v>181</v>
      </c>
      <c r="B94" s="8" t="s">
        <v>179</v>
      </c>
      <c r="C94" s="5">
        <v>1</v>
      </c>
      <c r="E94" t="str">
        <f t="shared" si="5"/>
        <v>public static int DropArmorWeight;</v>
      </c>
      <c r="G94" s="5">
        <v>1</v>
      </c>
    </row>
    <row r="95" spans="1:7" x14ac:dyDescent="0.25">
      <c r="A95" t="s">
        <v>182</v>
      </c>
      <c r="B95" s="8" t="s">
        <v>178</v>
      </c>
      <c r="C95" s="5">
        <v>2</v>
      </c>
      <c r="E95" t="str">
        <f t="shared" si="5"/>
        <v>public static int DropAccessoryWeight;</v>
      </c>
      <c r="G95" s="5">
        <v>2</v>
      </c>
    </row>
    <row r="96" spans="1:7" x14ac:dyDescent="0.25">
      <c r="A96" t="s">
        <v>171</v>
      </c>
      <c r="B96" s="8" t="s">
        <v>172</v>
      </c>
      <c r="C96" s="5">
        <v>0.05</v>
      </c>
      <c r="E96" t="str">
        <f>"public static float "&amp;A96&amp;";"</f>
        <v>public static float EnemyDropPotionProportion;</v>
      </c>
      <c r="G96" s="5">
        <v>0.05</v>
      </c>
    </row>
    <row r="97" spans="1:7" x14ac:dyDescent="0.25">
      <c r="A97" t="s">
        <v>157</v>
      </c>
      <c r="B97" s="8" t="s">
        <v>145</v>
      </c>
      <c r="C97" s="5">
        <v>0.2</v>
      </c>
      <c r="E97" t="str">
        <f>"public static float "&amp;A97&amp;";"</f>
        <v>public static float EnemyDropGoldProportion;</v>
      </c>
      <c r="G97" s="5">
        <v>0.2</v>
      </c>
    </row>
    <row r="98" spans="1:7" x14ac:dyDescent="0.25">
      <c r="A98" t="s">
        <v>158</v>
      </c>
      <c r="B98" s="8" t="s">
        <v>176</v>
      </c>
      <c r="C98" s="5">
        <v>1</v>
      </c>
      <c r="E98" t="str">
        <f t="shared" si="5"/>
        <v>public static int EnemyDropGold;</v>
      </c>
      <c r="G98" s="5">
        <v>1</v>
      </c>
    </row>
    <row r="99" spans="1:7" x14ac:dyDescent="0.25">
      <c r="A99" t="s">
        <v>159</v>
      </c>
      <c r="B99" s="8" t="s">
        <v>160</v>
      </c>
      <c r="C99" s="5">
        <v>0.3</v>
      </c>
      <c r="E99" t="str">
        <f>"public static float "&amp;A99&amp;";"</f>
        <v>public static float EnemyDropGoldOffset;</v>
      </c>
      <c r="G99" s="5">
        <v>0.3</v>
      </c>
    </row>
    <row r="100" spans="1:7" x14ac:dyDescent="0.25">
      <c r="A100" t="s">
        <v>218</v>
      </c>
      <c r="B100" s="8" t="s">
        <v>164</v>
      </c>
      <c r="C100" s="5">
        <v>3</v>
      </c>
      <c r="E100" t="str">
        <f t="shared" si="5"/>
        <v>public static int MaxEnemy;</v>
      </c>
      <c r="G100" s="5">
        <v>7</v>
      </c>
    </row>
    <row r="101" spans="1:7" x14ac:dyDescent="0.25">
      <c r="A101" t="s">
        <v>168</v>
      </c>
      <c r="B101" s="8" t="s">
        <v>165</v>
      </c>
      <c r="C101" s="5">
        <v>1</v>
      </c>
      <c r="E101" t="str">
        <f t="shared" si="5"/>
        <v>public static int MaxLoot;</v>
      </c>
      <c r="G101" s="5">
        <v>1</v>
      </c>
    </row>
    <row r="102" spans="1:7" x14ac:dyDescent="0.25">
      <c r="A102" t="s">
        <v>214</v>
      </c>
      <c r="B102" s="8" t="s">
        <v>216</v>
      </c>
      <c r="C102" s="5">
        <v>0</v>
      </c>
      <c r="E102" t="str">
        <f t="shared" ref="E102:E103" si="6">"public static int "&amp;A102&amp;";"</f>
        <v>public static int MaxForeEnemy;</v>
      </c>
      <c r="G102" s="5">
        <v>3</v>
      </c>
    </row>
    <row r="103" spans="1:7" x14ac:dyDescent="0.25">
      <c r="A103" t="s">
        <v>215</v>
      </c>
      <c r="B103" s="8" t="s">
        <v>217</v>
      </c>
      <c r="C103" s="5">
        <v>0</v>
      </c>
      <c r="E103" t="str">
        <f t="shared" si="6"/>
        <v>public static int MaxBackEnemy;</v>
      </c>
      <c r="G103" s="5">
        <v>3</v>
      </c>
    </row>
    <row r="104" spans="1:7" x14ac:dyDescent="0.25">
      <c r="A104" t="s">
        <v>169</v>
      </c>
      <c r="B104" s="8" t="s">
        <v>166</v>
      </c>
      <c r="C104" s="5">
        <v>20</v>
      </c>
      <c r="E104" t="str">
        <f t="shared" si="5"/>
        <v>public static int FloorPlate;</v>
      </c>
      <c r="G104" s="5">
        <v>10</v>
      </c>
    </row>
    <row r="105" spans="1:7" x14ac:dyDescent="0.25">
      <c r="A105" t="s">
        <v>170</v>
      </c>
      <c r="B105" s="8" t="s">
        <v>167</v>
      </c>
      <c r="C105" s="5">
        <v>1</v>
      </c>
      <c r="E105" t="str">
        <f t="shared" si="5"/>
        <v>public static int BossDebutPlate;</v>
      </c>
      <c r="G105" s="5">
        <v>1</v>
      </c>
    </row>
    <row r="106" spans="1:7" x14ac:dyDescent="0.25">
      <c r="A106" t="s">
        <v>225</v>
      </c>
      <c r="B106" s="8" t="s">
        <v>226</v>
      </c>
      <c r="C106" s="5">
        <v>0.2</v>
      </c>
      <c r="E106" t="str">
        <f>"public static float "&amp;A106&amp;";"</f>
        <v>public static float EnemyHPGrow;</v>
      </c>
      <c r="G106" s="5"/>
    </row>
    <row r="107" spans="1:7" x14ac:dyDescent="0.25">
      <c r="A107" t="s">
        <v>227</v>
      </c>
      <c r="B107" s="8" t="s">
        <v>228</v>
      </c>
      <c r="C107" s="5">
        <v>0.2</v>
      </c>
      <c r="E107" t="str">
        <f>"public static float "&amp;A107&amp;";"</f>
        <v>public static float EnemyDMGGrow;</v>
      </c>
      <c r="G107" s="5"/>
    </row>
    <row r="108" spans="1:7" x14ac:dyDescent="0.25">
      <c r="A108" t="s">
        <v>229</v>
      </c>
      <c r="B108" s="8" t="s">
        <v>234</v>
      </c>
      <c r="C108" s="5">
        <v>0.5</v>
      </c>
      <c r="E108" t="str">
        <f>"public static float "&amp;A108&amp;";"</f>
        <v>public static float BossHPGrow;</v>
      </c>
      <c r="G108" s="5"/>
    </row>
    <row r="109" spans="1:7" x14ac:dyDescent="0.25">
      <c r="A109" t="s">
        <v>230</v>
      </c>
      <c r="B109" s="8" t="s">
        <v>235</v>
      </c>
      <c r="C109" s="5">
        <v>0.4</v>
      </c>
      <c r="E109" t="str">
        <f>"public static float "&amp;A109&amp;";"</f>
        <v>public static float BossDMGGrow;</v>
      </c>
      <c r="G109" s="5"/>
    </row>
    <row r="110" spans="1:7" x14ac:dyDescent="0.25">
      <c r="A11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2018-11-09T10:39:14Z</dcterms:modified>
</cp:coreProperties>
</file>