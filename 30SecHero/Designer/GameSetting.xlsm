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F4" i="1" l="1"/>
  <c r="F8" i="1"/>
  <c r="F7" i="1"/>
  <c r="F6" i="1"/>
  <c r="F5" i="1"/>
  <c r="F3" i="1"/>
  <c r="E71" i="1" l="1"/>
  <c r="E112" i="1" l="1"/>
  <c r="E111" i="1" l="1"/>
  <c r="E70" i="1" l="1"/>
  <c r="E68" i="1"/>
  <c r="I94" i="1" l="1"/>
  <c r="I95" i="1"/>
  <c r="I96" i="1"/>
  <c r="I97" i="1"/>
  <c r="I98" i="1"/>
  <c r="I93" i="1"/>
  <c r="E47" i="1" l="1"/>
  <c r="E117" i="1" l="1"/>
  <c r="E116" i="1"/>
  <c r="E115" i="1" l="1"/>
  <c r="E114" i="1"/>
  <c r="E67" i="1" l="1"/>
  <c r="E46" i="1" l="1"/>
  <c r="E109" i="1" l="1"/>
  <c r="E108" i="1"/>
  <c r="E23" i="1" l="1"/>
  <c r="E101" i="1" l="1"/>
  <c r="E100" i="1"/>
  <c r="E99" i="1"/>
  <c r="E102" i="1" l="1"/>
  <c r="E113" i="1"/>
  <c r="E110" i="1"/>
  <c r="E107" i="1"/>
  <c r="E106" i="1"/>
  <c r="E79" i="1"/>
  <c r="E105" i="1"/>
  <c r="E103" i="1"/>
  <c r="E89" i="1"/>
  <c r="E81" i="1"/>
  <c r="E104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0" i="1"/>
  <c r="E78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5" i="1" l="1"/>
  <c r="E76" i="1"/>
  <c r="E74" i="1"/>
  <c r="E73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<sst xmlns="http://schemas.openxmlformats.org/spreadsheetml/2006/main" count="264" uniqueCount="262">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</sst>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8"/>
  <sheetViews>
    <sheetView tabSelected="1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B33" sqref="B33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6" s="1" customFormat="1" x14ac:dyDescent="0.25">
      <c r="A1" s="1" t="s">
        <v>0</v>
      </c>
      <c r="B1" s="1" t="s">
        <v>7</v>
      </c>
      <c r="C1" s="1" t="s">
        <v>19</v>
      </c>
    </row>
    <row r="2" spans="1:6" s="1" customFormat="1" x14ac:dyDescent="0.25">
      <c r="A2" s="1" t="s">
        <v>1</v>
      </c>
      <c r="B2" s="1" t="s">
        <v>2</v>
      </c>
      <c r="C2" s="1" t="s">
        <v>21</v>
      </c>
      <c r="E2" s="1" t="s">
        <v>244</v>
      </c>
      <c r="F2" s="1">
        <v>10</v>
      </c>
    </row>
    <row r="3" spans="1:6" x14ac:dyDescent="0.25">
      <c r="A3" t="s">
        <v>41</v>
      </c>
      <c r="B3" t="s">
        <v>26</v>
      </c>
      <c r="C3">
        <v>5</v>
      </c>
      <c r="E3" t="s">
        <v>245</v>
      </c>
      <c r="F3">
        <f>C3+C4*F2</f>
        <v>35</v>
      </c>
    </row>
    <row r="4" spans="1:6" x14ac:dyDescent="0.25">
      <c r="A4" t="s">
        <v>42</v>
      </c>
      <c r="B4" t="s">
        <v>27</v>
      </c>
      <c r="C4">
        <v>3</v>
      </c>
      <c r="E4" t="s">
        <v>246</v>
      </c>
      <c r="F4">
        <f>C7+C8*F2</f>
        <v>600</v>
      </c>
    </row>
    <row r="5" spans="1:6" x14ac:dyDescent="0.25">
      <c r="A5" t="s">
        <v>60</v>
      </c>
      <c r="B5" t="s">
        <v>22</v>
      </c>
      <c r="C5">
        <v>10</v>
      </c>
      <c r="E5" t="s">
        <v>247</v>
      </c>
      <c r="F5">
        <f>C11+C12*F2</f>
        <v>155</v>
      </c>
    </row>
    <row r="6" spans="1:6" x14ac:dyDescent="0.25">
      <c r="A6" t="s">
        <v>43</v>
      </c>
      <c r="B6" t="s">
        <v>20</v>
      </c>
      <c r="C6">
        <v>1</v>
      </c>
      <c r="E6" t="s">
        <v>248</v>
      </c>
      <c r="F6">
        <f>C20*F2</f>
        <v>5</v>
      </c>
    </row>
    <row r="7" spans="1:6" x14ac:dyDescent="0.25">
      <c r="A7" t="s">
        <v>44</v>
      </c>
      <c r="B7" t="s">
        <v>209</v>
      </c>
      <c r="C7">
        <v>100</v>
      </c>
      <c r="E7" t="s">
        <v>249</v>
      </c>
      <c r="F7">
        <f>C21*F2</f>
        <v>150</v>
      </c>
    </row>
    <row r="8" spans="1:6" x14ac:dyDescent="0.25">
      <c r="A8" t="s">
        <v>45</v>
      </c>
      <c r="B8" t="s">
        <v>25</v>
      </c>
      <c r="C8">
        <v>50</v>
      </c>
      <c r="E8" t="s">
        <v>250</v>
      </c>
      <c r="F8">
        <f>C22*F2</f>
        <v>30</v>
      </c>
    </row>
    <row r="9" spans="1:6" x14ac:dyDescent="0.25">
      <c r="A9" t="s">
        <v>46</v>
      </c>
      <c r="B9" t="s">
        <v>23</v>
      </c>
      <c r="C9">
        <v>10</v>
      </c>
    </row>
    <row r="10" spans="1:6" x14ac:dyDescent="0.25">
      <c r="A10" t="s">
        <v>47</v>
      </c>
      <c r="B10" t="s">
        <v>24</v>
      </c>
      <c r="C10">
        <v>1</v>
      </c>
    </row>
    <row r="11" spans="1:6" x14ac:dyDescent="0.25">
      <c r="A11" t="s">
        <v>48</v>
      </c>
      <c r="B11" t="s">
        <v>28</v>
      </c>
      <c r="C11">
        <v>25</v>
      </c>
    </row>
    <row r="12" spans="1:6" x14ac:dyDescent="0.25">
      <c r="A12" t="s">
        <v>49</v>
      </c>
      <c r="B12" t="s">
        <v>29</v>
      </c>
      <c r="C12">
        <v>13</v>
      </c>
    </row>
    <row r="13" spans="1:6" x14ac:dyDescent="0.25">
      <c r="A13" t="s">
        <v>50</v>
      </c>
      <c r="B13" t="s">
        <v>30</v>
      </c>
      <c r="C13">
        <v>10</v>
      </c>
    </row>
    <row r="14" spans="1:6" x14ac:dyDescent="0.25">
      <c r="A14" t="s">
        <v>227</v>
      </c>
      <c r="B14" t="s">
        <v>31</v>
      </c>
      <c r="C14">
        <v>1</v>
      </c>
    </row>
    <row r="15" spans="1:6" x14ac:dyDescent="0.25">
      <c r="A15" t="s">
        <v>51</v>
      </c>
      <c r="B15" t="s">
        <v>32</v>
      </c>
      <c r="C15">
        <v>1</v>
      </c>
    </row>
    <row r="16" spans="1:6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15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3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239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258</v>
      </c>
      <c r="B28" t="s">
        <v>181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183</v>
      </c>
      <c r="B29" t="s">
        <v>182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240</v>
      </c>
      <c r="B30" t="s">
        <v>189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188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218</v>
      </c>
      <c r="B32" t="s">
        <v>253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259</v>
      </c>
      <c r="B33" t="s">
        <v>261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219</v>
      </c>
      <c r="B34" t="s">
        <v>252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220</v>
      </c>
      <c r="B35" t="s">
        <v>251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241</v>
      </c>
      <c r="B41" t="s">
        <v>242</v>
      </c>
      <c r="C41" t="s">
        <v>243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6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200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198</v>
      </c>
      <c r="B46" t="s">
        <v>199</v>
      </c>
      <c r="C46" t="s">
        <v>214</v>
      </c>
      <c r="E46" t="str">
        <f t="shared" si="3"/>
        <v>public static float SoulPath;</v>
      </c>
    </row>
    <row r="47" spans="1:5" x14ac:dyDescent="0.25">
      <c r="A47" t="s">
        <v>217</v>
      </c>
      <c r="B47" t="s">
        <v>216</v>
      </c>
      <c r="C47" t="s">
        <v>215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300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210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211</v>
      </c>
      <c r="C52">
        <v>100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184</v>
      </c>
      <c r="B59" s="4" t="s">
        <v>185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190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188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187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191</v>
      </c>
      <c r="B63" s="4" t="s">
        <v>260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192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202</v>
      </c>
      <c r="B67" s="4" t="s">
        <v>201</v>
      </c>
      <c r="C67">
        <v>2.5</v>
      </c>
      <c r="E67" t="str">
        <f t="shared" si="2"/>
        <v>public static float RushCD;</v>
      </c>
    </row>
    <row r="68" spans="1:7" x14ac:dyDescent="0.25">
      <c r="A68" t="s">
        <v>257</v>
      </c>
      <c r="B68" s="4" t="s">
        <v>221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255</v>
      </c>
      <c r="B69" s="4" t="s">
        <v>256</v>
      </c>
      <c r="C69">
        <v>0.4</v>
      </c>
      <c r="E69" t="str">
        <f t="shared" ref="E69" si="5">"public static float "&amp;A69&amp;";"</f>
        <v>public static float SkillFaceTargetAmmoInterval;</v>
      </c>
    </row>
    <row r="70" spans="1:7" x14ac:dyDescent="0.25">
      <c r="A70" t="s">
        <v>223</v>
      </c>
      <c r="B70" s="4" t="s">
        <v>222</v>
      </c>
      <c r="C70">
        <v>2</v>
      </c>
      <c r="E70" t="str">
        <f t="shared" si="2"/>
        <v>public static float SkillAmmoSpeed;</v>
      </c>
    </row>
    <row r="71" spans="1:7" x14ac:dyDescent="0.25">
      <c r="A71" t="s">
        <v>254</v>
      </c>
      <c r="B71" s="4" t="s">
        <v>233</v>
      </c>
      <c r="C71">
        <v>0.4</v>
      </c>
      <c r="E71" t="str">
        <f t="shared" si="2"/>
        <v>public static float SkillAmmoDamage;</v>
      </c>
    </row>
    <row r="72" spans="1:7" s="2" customFormat="1" x14ac:dyDescent="0.25">
      <c r="B72" s="6" t="s">
        <v>152</v>
      </c>
    </row>
    <row r="73" spans="1:7" x14ac:dyDescent="0.25">
      <c r="A73" t="s">
        <v>78</v>
      </c>
      <c r="B73" t="s">
        <v>77</v>
      </c>
      <c r="C73">
        <v>0.5</v>
      </c>
      <c r="E73" t="str">
        <f t="shared" si="2"/>
        <v>public static float FreezeMove;</v>
      </c>
      <c r="G73">
        <v>0.5</v>
      </c>
    </row>
    <row r="74" spans="1:7" x14ac:dyDescent="0.25">
      <c r="A74" t="s">
        <v>80</v>
      </c>
      <c r="B74" t="s">
        <v>82</v>
      </c>
      <c r="C74">
        <v>1.4999999999999999E-2</v>
      </c>
      <c r="E74" t="str">
        <f t="shared" si="2"/>
        <v>public static float BurnDamage;</v>
      </c>
      <c r="G74">
        <v>0.01</v>
      </c>
    </row>
    <row r="75" spans="1:7" x14ac:dyDescent="0.25">
      <c r="A75" t="s">
        <v>84</v>
      </c>
      <c r="B75" t="s">
        <v>83</v>
      </c>
      <c r="C75">
        <v>0.5</v>
      </c>
      <c r="E75" t="str">
        <f t="shared" ref="E75" si="6">"public static float "&amp;A75&amp;";"</f>
        <v>public static float BurnInterval;</v>
      </c>
      <c r="G75">
        <v>0.5</v>
      </c>
    </row>
    <row r="76" spans="1:7" x14ac:dyDescent="0.25">
      <c r="A76" t="s">
        <v>81</v>
      </c>
      <c r="B76" t="s">
        <v>79</v>
      </c>
      <c r="C76">
        <v>0.5</v>
      </c>
      <c r="E76" t="str">
        <f t="shared" si="2"/>
        <v>public static float CurseDamageReduce;</v>
      </c>
      <c r="G76">
        <v>0.5</v>
      </c>
    </row>
    <row r="77" spans="1:7" s="2" customFormat="1" x14ac:dyDescent="0.25">
      <c r="B77" s="6" t="s">
        <v>93</v>
      </c>
    </row>
    <row r="78" spans="1:7" x14ac:dyDescent="0.25">
      <c r="A78" t="s">
        <v>151</v>
      </c>
      <c r="B78" s="7" t="s">
        <v>122</v>
      </c>
      <c r="C78">
        <v>6</v>
      </c>
      <c r="E78" t="str">
        <f t="shared" ref="E78:E113" si="7">"public static int "&amp;A78&amp;";"</f>
        <v>public static int PotionInterval;</v>
      </c>
      <c r="G78">
        <v>10</v>
      </c>
    </row>
    <row r="79" spans="1:7" x14ac:dyDescent="0.25">
      <c r="A79" t="s">
        <v>124</v>
      </c>
      <c r="B79" s="7" t="s">
        <v>123</v>
      </c>
      <c r="C79">
        <v>0.25</v>
      </c>
      <c r="E79" t="str">
        <f>"public static float "&amp;A79&amp;";"</f>
        <v>public static float PotionProportion;</v>
      </c>
      <c r="G79">
        <v>0.5</v>
      </c>
    </row>
    <row r="80" spans="1:7" x14ac:dyDescent="0.25">
      <c r="A80" t="s">
        <v>125</v>
      </c>
      <c r="B80" s="7" t="s">
        <v>75</v>
      </c>
      <c r="C80">
        <v>2</v>
      </c>
      <c r="E80" t="str">
        <f t="shared" si="7"/>
        <v>public static int EnemyFirstHalfInterval;</v>
      </c>
      <c r="G80">
        <v>1.5</v>
      </c>
    </row>
    <row r="81" spans="1:9" x14ac:dyDescent="0.25">
      <c r="A81" t="s">
        <v>126</v>
      </c>
      <c r="B81" s="7" t="s">
        <v>76</v>
      </c>
      <c r="C81">
        <v>1</v>
      </c>
      <c r="E81" t="str">
        <f>"public static float "&amp;A81&amp;";"</f>
        <v>public static float EnemySecondHalfInterval;</v>
      </c>
      <c r="G81">
        <v>1</v>
      </c>
    </row>
    <row r="82" spans="1:9" x14ac:dyDescent="0.25">
      <c r="A82" t="s">
        <v>127</v>
      </c>
      <c r="B82" s="7" t="s">
        <v>118</v>
      </c>
      <c r="C82">
        <v>1</v>
      </c>
      <c r="E82" t="str">
        <f t="shared" si="7"/>
        <v>public static int EnemyFirstHalfMinCount;</v>
      </c>
      <c r="G82">
        <v>3</v>
      </c>
    </row>
    <row r="83" spans="1:9" x14ac:dyDescent="0.25">
      <c r="A83" t="s">
        <v>129</v>
      </c>
      <c r="B83" s="7" t="s">
        <v>117</v>
      </c>
      <c r="C83">
        <v>2</v>
      </c>
      <c r="E83" t="str">
        <f t="shared" si="7"/>
        <v>public static int EnemyFirstHalfMaxCount;</v>
      </c>
      <c r="G83">
        <v>5</v>
      </c>
    </row>
    <row r="84" spans="1:9" x14ac:dyDescent="0.25">
      <c r="A84" t="s">
        <v>128</v>
      </c>
      <c r="B84" s="7" t="s">
        <v>119</v>
      </c>
      <c r="C84">
        <v>1</v>
      </c>
      <c r="E84" t="str">
        <f t="shared" si="7"/>
        <v>public static int EnemySecondHalfMinCount;</v>
      </c>
      <c r="G84">
        <v>5</v>
      </c>
    </row>
    <row r="85" spans="1:9" x14ac:dyDescent="0.25">
      <c r="A85" t="s">
        <v>130</v>
      </c>
      <c r="B85" s="7" t="s">
        <v>120</v>
      </c>
      <c r="C85">
        <v>3</v>
      </c>
      <c r="E85" t="str">
        <f t="shared" si="7"/>
        <v>public static int EnemySecondHalfMaxCount;</v>
      </c>
      <c r="G85">
        <v>6</v>
      </c>
    </row>
    <row r="86" spans="1:9" x14ac:dyDescent="0.25">
      <c r="A86" t="s">
        <v>131</v>
      </c>
      <c r="B86" s="7" t="s">
        <v>121</v>
      </c>
      <c r="C86">
        <v>1</v>
      </c>
      <c r="E86" t="str">
        <f t="shared" si="7"/>
        <v>public static int EnemySpawnInterval;</v>
      </c>
      <c r="G86">
        <v>0.2</v>
      </c>
    </row>
    <row r="87" spans="1:9" x14ac:dyDescent="0.25">
      <c r="A87" t="s">
        <v>236</v>
      </c>
      <c r="B87" s="7" t="s">
        <v>224</v>
      </c>
      <c r="C87">
        <v>100</v>
      </c>
      <c r="E87" t="str">
        <f t="shared" si="7"/>
        <v>public static int FloorPassGold;</v>
      </c>
      <c r="G87">
        <v>100</v>
      </c>
    </row>
    <row r="88" spans="1:9" x14ac:dyDescent="0.25">
      <c r="A88" t="s">
        <v>226</v>
      </c>
      <c r="B88" s="7" t="s">
        <v>225</v>
      </c>
      <c r="C88">
        <v>200</v>
      </c>
      <c r="E88" t="str">
        <f t="shared" si="7"/>
        <v>public static int NewFloorPassGold;</v>
      </c>
      <c r="G88">
        <v>300</v>
      </c>
    </row>
    <row r="89" spans="1:9" x14ac:dyDescent="0.25">
      <c r="A89" t="s">
        <v>133</v>
      </c>
      <c r="B89" s="7" t="s">
        <v>116</v>
      </c>
      <c r="C89">
        <v>1</v>
      </c>
      <c r="E89" t="str">
        <f>"public static float "&amp;A89&amp;";"</f>
        <v>public static float BossEmeraldProportion;</v>
      </c>
      <c r="G89">
        <v>0.2</v>
      </c>
    </row>
    <row r="90" spans="1:9" x14ac:dyDescent="0.25">
      <c r="A90" t="s">
        <v>132</v>
      </c>
      <c r="B90" s="7" t="s">
        <v>234</v>
      </c>
      <c r="C90">
        <v>1</v>
      </c>
      <c r="E90" t="str">
        <f t="shared" si="7"/>
        <v>public static int BossEmerald;</v>
      </c>
      <c r="G90">
        <v>2</v>
      </c>
    </row>
    <row r="91" spans="1:9" x14ac:dyDescent="0.25">
      <c r="A91" t="s">
        <v>235</v>
      </c>
      <c r="B91" s="7" t="s">
        <v>238</v>
      </c>
      <c r="C91">
        <v>3</v>
      </c>
      <c r="E91" t="str">
        <f t="shared" si="7"/>
        <v>public static int NewBossEmerald;</v>
      </c>
      <c r="G91">
        <v>10</v>
      </c>
    </row>
    <row r="92" spans="1:9" x14ac:dyDescent="0.25">
      <c r="A92" t="s">
        <v>134</v>
      </c>
      <c r="B92" s="7" t="s">
        <v>162</v>
      </c>
      <c r="C92">
        <v>10</v>
      </c>
      <c r="E92" t="str">
        <f t="shared" si="7"/>
        <v>public static int EnemyGold;</v>
      </c>
      <c r="G92">
        <v>5</v>
      </c>
    </row>
    <row r="93" spans="1:9" x14ac:dyDescent="0.25">
      <c r="A93" t="s">
        <v>136</v>
      </c>
      <c r="B93" s="8" t="s">
        <v>186</v>
      </c>
      <c r="C93" s="5">
        <v>1800</v>
      </c>
      <c r="E93" t="str">
        <f t="shared" si="7"/>
        <v>public static int NoEquipWeight;</v>
      </c>
      <c r="G93" s="5">
        <v>1800</v>
      </c>
      <c r="I93" s="9">
        <f>G93/SUM(G$93:G$98)</f>
        <v>0.94936708860759489</v>
      </c>
    </row>
    <row r="94" spans="1:9" x14ac:dyDescent="0.25">
      <c r="A94" t="s">
        <v>142</v>
      </c>
      <c r="B94" s="8" t="s">
        <v>137</v>
      </c>
      <c r="C94" s="5">
        <v>50</v>
      </c>
      <c r="E94" t="str">
        <f t="shared" si="7"/>
        <v>public static int EquipQuality1Weight;</v>
      </c>
      <c r="G94" s="5">
        <v>50</v>
      </c>
      <c r="I94" s="9">
        <f t="shared" ref="I94:I98" si="8">G94/SUM(G$93:G$98)</f>
        <v>2.6371308016877638E-2</v>
      </c>
    </row>
    <row r="95" spans="1:9" x14ac:dyDescent="0.25">
      <c r="A95" t="s">
        <v>143</v>
      </c>
      <c r="B95" s="8" t="s">
        <v>138</v>
      </c>
      <c r="C95" s="5">
        <v>25</v>
      </c>
      <c r="E95" t="str">
        <f t="shared" si="7"/>
        <v>public static int EquipQuality2Weight;</v>
      </c>
      <c r="G95" s="5">
        <v>25</v>
      </c>
      <c r="I95" s="9">
        <f t="shared" si="8"/>
        <v>1.3185654008438819E-2</v>
      </c>
    </row>
    <row r="96" spans="1:9" x14ac:dyDescent="0.25">
      <c r="A96" t="s">
        <v>144</v>
      </c>
      <c r="B96" s="8" t="s">
        <v>139</v>
      </c>
      <c r="C96" s="5">
        <v>12</v>
      </c>
      <c r="E96" t="str">
        <f t="shared" si="7"/>
        <v>public static int EquipQuality3Weight;</v>
      </c>
      <c r="G96" s="5">
        <v>12</v>
      </c>
      <c r="I96" s="9">
        <f t="shared" si="8"/>
        <v>6.3291139240506328E-3</v>
      </c>
    </row>
    <row r="97" spans="1:9" x14ac:dyDescent="0.25">
      <c r="A97" t="s">
        <v>145</v>
      </c>
      <c r="B97" s="8" t="s">
        <v>140</v>
      </c>
      <c r="C97" s="5">
        <v>6</v>
      </c>
      <c r="E97" t="str">
        <f t="shared" si="7"/>
        <v>public static int EquipQuality4Weight;</v>
      </c>
      <c r="G97" s="5">
        <v>6</v>
      </c>
      <c r="I97" s="9">
        <f t="shared" si="8"/>
        <v>3.1645569620253164E-3</v>
      </c>
    </row>
    <row r="98" spans="1:9" x14ac:dyDescent="0.25">
      <c r="A98" t="s">
        <v>146</v>
      </c>
      <c r="B98" s="8" t="s">
        <v>141</v>
      </c>
      <c r="C98" s="5">
        <v>3</v>
      </c>
      <c r="E98" t="str">
        <f t="shared" si="7"/>
        <v>public static int EquipQuality5Weight;</v>
      </c>
      <c r="G98" s="5">
        <v>3</v>
      </c>
      <c r="I98" s="9">
        <f t="shared" si="8"/>
        <v>1.5822784810126582E-3</v>
      </c>
    </row>
    <row r="99" spans="1:9" x14ac:dyDescent="0.25">
      <c r="A99" t="s">
        <v>167</v>
      </c>
      <c r="B99" s="8" t="s">
        <v>164</v>
      </c>
      <c r="C99" s="5">
        <v>1</v>
      </c>
      <c r="E99" t="str">
        <f t="shared" si="7"/>
        <v>public static int DropWeaponWeight;</v>
      </c>
      <c r="G99" s="5">
        <v>1</v>
      </c>
    </row>
    <row r="100" spans="1:9" x14ac:dyDescent="0.25">
      <c r="A100" t="s">
        <v>168</v>
      </c>
      <c r="B100" s="8" t="s">
        <v>166</v>
      </c>
      <c r="C100" s="5">
        <v>1</v>
      </c>
      <c r="E100" t="str">
        <f t="shared" si="7"/>
        <v>public static int DropArmorWeight;</v>
      </c>
      <c r="G100" s="5">
        <v>1</v>
      </c>
    </row>
    <row r="101" spans="1:9" x14ac:dyDescent="0.25">
      <c r="A101" t="s">
        <v>169</v>
      </c>
      <c r="B101" s="8" t="s">
        <v>165</v>
      </c>
      <c r="C101" s="5">
        <v>2</v>
      </c>
      <c r="E101" t="str">
        <f t="shared" si="7"/>
        <v>public static int DropAccessoryWeight;</v>
      </c>
      <c r="G101" s="5">
        <v>2</v>
      </c>
    </row>
    <row r="102" spans="1:9" x14ac:dyDescent="0.25">
      <c r="A102" t="s">
        <v>160</v>
      </c>
      <c r="B102" s="8" t="s">
        <v>161</v>
      </c>
      <c r="C102" s="5">
        <v>0.05</v>
      </c>
      <c r="E102" t="str">
        <f>"public static float "&amp;A102&amp;";"</f>
        <v>public static float EnemyDropPotionProportion;</v>
      </c>
      <c r="G102" s="5">
        <v>0.05</v>
      </c>
    </row>
    <row r="103" spans="1:9" x14ac:dyDescent="0.25">
      <c r="A103" t="s">
        <v>147</v>
      </c>
      <c r="B103" s="8" t="s">
        <v>135</v>
      </c>
      <c r="C103" s="5">
        <v>0.2</v>
      </c>
      <c r="E103" t="str">
        <f>"public static float "&amp;A103&amp;";"</f>
        <v>public static float EnemyDropGoldProportion;</v>
      </c>
      <c r="G103" s="5">
        <v>0.2</v>
      </c>
    </row>
    <row r="104" spans="1:9" x14ac:dyDescent="0.25">
      <c r="A104" t="s">
        <v>148</v>
      </c>
      <c r="B104" s="8" t="s">
        <v>163</v>
      </c>
      <c r="C104" s="5">
        <v>4</v>
      </c>
      <c r="E104" t="str">
        <f t="shared" si="7"/>
        <v>public static int EnemyDropGold;</v>
      </c>
      <c r="G104" s="5">
        <v>1</v>
      </c>
    </row>
    <row r="105" spans="1:9" x14ac:dyDescent="0.25">
      <c r="A105" t="s">
        <v>149</v>
      </c>
      <c r="B105" s="8" t="s">
        <v>150</v>
      </c>
      <c r="C105" s="5">
        <v>0.3</v>
      </c>
      <c r="E105" t="str">
        <f>"public static float "&amp;A105&amp;";"</f>
        <v>public static float EnemyDropGoldOffset;</v>
      </c>
      <c r="G105" s="5">
        <v>0.3</v>
      </c>
    </row>
    <row r="106" spans="1:9" x14ac:dyDescent="0.25">
      <c r="A106" t="s">
        <v>197</v>
      </c>
      <c r="B106" s="8" t="s">
        <v>154</v>
      </c>
      <c r="C106" s="5">
        <v>3</v>
      </c>
      <c r="E106" t="str">
        <f t="shared" si="7"/>
        <v>public static int MaxEnemy;</v>
      </c>
      <c r="G106" s="5">
        <v>7</v>
      </c>
    </row>
    <row r="107" spans="1:9" x14ac:dyDescent="0.25">
      <c r="A107" t="s">
        <v>158</v>
      </c>
      <c r="B107" s="8" t="s">
        <v>155</v>
      </c>
      <c r="C107" s="5">
        <v>1</v>
      </c>
      <c r="E107" t="str">
        <f t="shared" si="7"/>
        <v>public static int MaxLoot;</v>
      </c>
      <c r="G107" s="5">
        <v>1</v>
      </c>
    </row>
    <row r="108" spans="1:9" x14ac:dyDescent="0.25">
      <c r="A108" t="s">
        <v>193</v>
      </c>
      <c r="B108" s="8" t="s">
        <v>195</v>
      </c>
      <c r="C108" s="5">
        <v>0</v>
      </c>
      <c r="E108" t="str">
        <f t="shared" ref="E108:E109" si="9">"public static int "&amp;A108&amp;";"</f>
        <v>public static int MaxForeEnemy;</v>
      </c>
      <c r="G108" s="5">
        <v>3</v>
      </c>
    </row>
    <row r="109" spans="1:9" x14ac:dyDescent="0.25">
      <c r="A109" t="s">
        <v>194</v>
      </c>
      <c r="B109" s="8" t="s">
        <v>196</v>
      </c>
      <c r="C109" s="5">
        <v>0</v>
      </c>
      <c r="E109" t="str">
        <f t="shared" si="9"/>
        <v>public static int MaxBackEnemy;</v>
      </c>
      <c r="G109" s="5">
        <v>3</v>
      </c>
    </row>
    <row r="110" spans="1:9" x14ac:dyDescent="0.25">
      <c r="A110" t="s">
        <v>228</v>
      </c>
      <c r="B110" s="8" t="s">
        <v>156</v>
      </c>
      <c r="C110" s="5">
        <v>13</v>
      </c>
      <c r="E110" t="str">
        <f t="shared" si="7"/>
        <v>public static int FloorPlate;</v>
      </c>
      <c r="G110" s="5">
        <v>10</v>
      </c>
    </row>
    <row r="111" spans="1:9" x14ac:dyDescent="0.25">
      <c r="A111" t="s">
        <v>229</v>
      </c>
      <c r="B111" s="8" t="s">
        <v>230</v>
      </c>
      <c r="C111" s="5">
        <v>3</v>
      </c>
      <c r="E111" t="str">
        <f t="shared" ref="E111" si="10">"public static int "&amp;A111&amp;";"</f>
        <v>public static int FloorUpPlate;</v>
      </c>
      <c r="G111" s="5">
        <v>10</v>
      </c>
    </row>
    <row r="112" spans="1:9" x14ac:dyDescent="0.25">
      <c r="A112" t="s">
        <v>232</v>
      </c>
      <c r="B112" s="8" t="s">
        <v>231</v>
      </c>
      <c r="C112" s="5">
        <v>40</v>
      </c>
      <c r="E112" t="str">
        <f t="shared" ref="E112" si="11">"public static int "&amp;A112&amp;";"</f>
        <v>public static int MaxFloorPlate;</v>
      </c>
      <c r="G112" s="5">
        <v>10</v>
      </c>
    </row>
    <row r="113" spans="1:7" x14ac:dyDescent="0.25">
      <c r="A113" t="s">
        <v>159</v>
      </c>
      <c r="B113" s="8" t="s">
        <v>157</v>
      </c>
      <c r="C113" s="5">
        <v>5</v>
      </c>
      <c r="E113" t="str">
        <f t="shared" si="7"/>
        <v>public static int BossDebutPlate;</v>
      </c>
      <c r="G113" s="5">
        <v>1</v>
      </c>
    </row>
    <row r="114" spans="1:7" x14ac:dyDescent="0.25">
      <c r="A114" t="s">
        <v>203</v>
      </c>
      <c r="B114" s="8" t="s">
        <v>204</v>
      </c>
      <c r="C114" s="5">
        <v>0.5</v>
      </c>
      <c r="E114" t="str">
        <f>"public static float "&amp;A114&amp;";"</f>
        <v>public static float EnemyHPGrow;</v>
      </c>
      <c r="G114" s="5"/>
    </row>
    <row r="115" spans="1:7" x14ac:dyDescent="0.25">
      <c r="A115" t="s">
        <v>205</v>
      </c>
      <c r="B115" s="8" t="s">
        <v>206</v>
      </c>
      <c r="C115" s="5">
        <v>0.5</v>
      </c>
      <c r="E115" t="str">
        <f>"public static float "&amp;A115&amp;";"</f>
        <v>public static float EnemyDMGGrow;</v>
      </c>
      <c r="G115" s="5"/>
    </row>
    <row r="116" spans="1:7" x14ac:dyDescent="0.25">
      <c r="A116" t="s">
        <v>207</v>
      </c>
      <c r="B116" s="8" t="s">
        <v>212</v>
      </c>
      <c r="C116" s="5">
        <v>0.5</v>
      </c>
      <c r="E116" t="str">
        <f>"public static float "&amp;A116&amp;";"</f>
        <v>public static float BossHPGrow;</v>
      </c>
      <c r="G116" s="5"/>
    </row>
    <row r="117" spans="1:7" x14ac:dyDescent="0.25">
      <c r="A117" t="s">
        <v>208</v>
      </c>
      <c r="B117" s="8" t="s">
        <v>213</v>
      </c>
      <c r="C117" s="5">
        <v>0.5</v>
      </c>
      <c r="E117" t="str">
        <f>"public static float "&amp;A117&amp;";"</f>
        <v>public static float BossDMGGrow;</v>
      </c>
      <c r="G117" s="5"/>
    </row>
    <row r="118" spans="1:7" x14ac:dyDescent="0.25">
      <c r="A118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2019-01-10T08:24:37Z</dcterms:modified>
</cp:coreProperties>
</file>