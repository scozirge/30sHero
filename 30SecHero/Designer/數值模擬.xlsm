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56E0DF8B-3316-48EA-9467-8E86075CFEB1}" xr6:coauthVersionLast="38" xr6:coauthVersionMax="38" xr10:uidLastSave="{00000000-0000-0000-0000-000000000000}"/>
  <bookViews>
    <workbookView xWindow="240" yWindow="915" windowWidth="14805" windowHeight="7200" xr2:uid="{00000000-000D-0000-FFFF-FFFF00000000}"/>
  </bookViews>
  <sheets>
    <sheet name="Enemy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E4" i="1" l="1"/>
  <c r="E3" i="1"/>
  <c r="D4" i="1"/>
  <c r="D3" i="1"/>
  <c r="N2" i="1"/>
  <c r="M2" i="1"/>
  <c r="L2" i="1"/>
  <c r="J2" i="1" l="1"/>
  <c r="I2" i="1"/>
  <c r="K2" i="1"/>
  <c r="G4" i="1" l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<sst xmlns="http://schemas.openxmlformats.org/spreadsheetml/2006/main" count="38" uniqueCount="38">
  <si>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</si>
  <si>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</si>
  <si>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</si>
  <si>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</si>
  <si>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</si>
  <si>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</si>
  <si>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</si>
  <si>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</si>
  <si>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</si>
  <si>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</si>
  <si>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</si>
  <si>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</si>
  <si>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</si>
  <si>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</si>
  <si>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</si>
  <si>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</si>
  <si>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</si>
  <si>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</si>
  <si>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</si>
  <si>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</si>
  <si>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</si>
  <si>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</si>
  <si>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</si>
  <si>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</si>
  <si>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</si>
  <si>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</si>
  <si>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</si>
  <si>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</si>
  <si>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</si>
  <si>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</si>
  <si>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</si>
  <si>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</si>
  <si>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</si>
  <si>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</si>
  <si>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Bothside Melee</t>
    <phoneticPr fontId="1" type="noConversion"/>
  </si>
  <si>
    <t>Two Blade Melee</t>
    <phoneticPr fontId="1" type="noConversion"/>
  </si>
  <si>
    <t>BOSS</t>
    <phoneticPr fontId="1" type="noConversion"/>
  </si>
  <si>
    <t>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</si>
</sst>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30</v>
      </c>
      <c r="C2" s="4">
        <v>60</v>
      </c>
      <c r="D2" s="4">
        <f>B2+(B2*H$2*H$4)</f>
        <v>45</v>
      </c>
      <c r="E2" s="4">
        <f>C2+(C2*H$2*H$6)</f>
        <v>72</v>
      </c>
      <c r="F2" s="6">
        <f>ROUNDUP(D2/I$2,0)</f>
        <v>3</v>
      </c>
      <c r="G2" s="6">
        <f>ROUNDUP((J$2+K$2)/E2,0)</f>
        <v>6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35</v>
      </c>
      <c r="B3" s="4">
        <v>15</v>
      </c>
      <c r="C3" s="4">
        <v>60</v>
      </c>
      <c r="D3" s="4">
        <f>B3+(B3*H$2*H$4)</f>
        <v>22.5</v>
      </c>
      <c r="E3" s="4">
        <f>C3+(C3*H$2*H$6)</f>
        <v>72</v>
      </c>
      <c r="F3" s="6">
        <f>ROUNDUP(D3/I$2,0)</f>
        <v>2</v>
      </c>
      <c r="G3" s="6">
        <f t="shared" ref="G3:G4" si="0">ROUNDUP((J$2+K$2)/E3,0)</f>
        <v>6</v>
      </c>
      <c r="H3" s="5" t="s">
        <v>29</v>
      </c>
    </row>
    <row r="4" spans="1:14" x14ac:dyDescent="0.25">
      <c r="A4" t="s">
        <v>36</v>
      </c>
      <c r="B4" s="4">
        <v>400</v>
      </c>
      <c r="C4" s="4">
        <v>100</v>
      </c>
      <c r="D4" s="4">
        <f>B4+(B4*H$2*H$4)</f>
        <v>600</v>
      </c>
      <c r="E4" s="4">
        <f>C4+(C4*H$2*H$6)</f>
        <v>120</v>
      </c>
      <c r="F4" s="6">
        <f>ROUNDUP(D4/I$2,0)</f>
        <v>28</v>
      </c>
      <c r="G4" s="6">
        <f t="shared" si="0"/>
        <v>4</v>
      </c>
      <c r="H4" s="5">
        <v>0.5</v>
      </c>
    </row>
    <row r="5" spans="1:14" x14ac:dyDescent="0.25">
      <c r="H5" s="5" t="s">
        <v>30</v>
      </c>
    </row>
    <row r="6" spans="1:14" x14ac:dyDescent="0.25">
      <c r="H6" s="5">
        <v>0.2</v>
      </c>
    </row>
    <row r="7" spans="1:14" x14ac:dyDescent="0.25">
      <c r="H7" s="5" t="s">
        <v>11</v>
      </c>
    </row>
    <row r="8" spans="1:14" x14ac:dyDescent="0.25">
      <c r="H8" s="5">
        <v>8</v>
      </c>
    </row>
    <row r="9" spans="1:14" x14ac:dyDescent="0.25">
      <c r="C9" s="4" t="s">
        <v>37</v>
      </c>
      <c r="H9" s="5" t="s">
        <v>13</v>
      </c>
    </row>
    <row r="10" spans="1:14" x14ac:dyDescent="0.25">
      <c r="H10" s="5">
        <v>4</v>
      </c>
    </row>
    <row r="11" spans="1:14" x14ac:dyDescent="0.25">
      <c r="H11" s="5" t="s">
        <v>12</v>
      </c>
    </row>
    <row r="12" spans="1:14" x14ac:dyDescent="0.25">
      <c r="H12" s="5">
        <v>80</v>
      </c>
    </row>
    <row r="13" spans="1:14" x14ac:dyDescent="0.25">
      <c r="H13" s="5" t="s">
        <v>14</v>
      </c>
    </row>
    <row r="14" spans="1:14" x14ac:dyDescent="0.25">
      <c r="H14" s="5">
        <v>40</v>
      </c>
    </row>
    <row r="15" spans="1:14" x14ac:dyDescent="0.25">
      <c r="H15" s="5" t="s">
        <v>15</v>
      </c>
    </row>
    <row r="16" spans="1:14" x14ac:dyDescent="0.25">
      <c r="H16" s="5">
        <v>10</v>
      </c>
    </row>
    <row r="17" spans="1:8" x14ac:dyDescent="0.25">
      <c r="A17" s="4"/>
      <c r="H17" s="5" t="s">
        <v>16</v>
      </c>
    </row>
    <row r="18" spans="1:8" x14ac:dyDescent="0.25">
      <c r="H18" s="5">
        <v>5</v>
      </c>
    </row>
    <row r="19" spans="1:8" x14ac:dyDescent="0.25">
      <c r="H19" s="5" t="s">
        <v>17</v>
      </c>
    </row>
    <row r="20" spans="1:8" x14ac:dyDescent="0.25">
      <c r="H20" s="5">
        <v>200</v>
      </c>
    </row>
    <row r="21" spans="1:8" x14ac:dyDescent="0.25">
      <c r="B21"/>
      <c r="H21" s="5" t="s">
        <v>18</v>
      </c>
    </row>
    <row r="22" spans="1:8" x14ac:dyDescent="0.25">
      <c r="B22"/>
      <c r="H22" s="5">
        <v>10</v>
      </c>
    </row>
    <row r="23" spans="1:8" x14ac:dyDescent="0.25">
      <c r="B23"/>
      <c r="H23" s="5" t="s">
        <v>19</v>
      </c>
    </row>
    <row r="24" spans="1:8" x14ac:dyDescent="0.25">
      <c r="B24"/>
      <c r="H24" s="5">
        <v>60</v>
      </c>
    </row>
    <row r="25" spans="1:8" x14ac:dyDescent="0.25">
      <c r="B25"/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2018-11-30T07:03:44Z</dcterms:modified>
</cp:coreProperties>
</file>