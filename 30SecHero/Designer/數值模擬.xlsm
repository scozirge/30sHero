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915" windowWidth="14805" windowHeight="7200"/>
  </bookViews>
  <sheets>
    <sheet name="Enemy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Enemy!$A$1:$A$2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4" i="1" l="1"/>
  <c r="E3" i="1"/>
  <c r="D4" i="1"/>
  <c r="D3" i="1"/>
  <c r="N2" i="1"/>
  <c r="M2" i="1"/>
  <c r="L2" i="1"/>
  <c r="J2" i="1" l="1"/>
  <c r="I2" i="1"/>
  <c r="K2" i="1"/>
  <c r="G4" i="1" l="1"/>
  <c r="F4" i="1"/>
  <c r="E2" i="1"/>
  <c r="G2" i="1" s="1"/>
  <c r="G3" i="1"/>
  <c r="D2" i="1"/>
  <c r="F2" i="1" s="1"/>
  <c r="F3" i="1"/>
</calcChain>
</file>

<file path=xl/sharedStrings.xml><?xml version="1.0" encoding="utf-8"?>
<sst xmlns="http://schemas.openxmlformats.org/spreadsheetml/2006/main" count="38" uniqueCount="38">
  <si>
    <t>怪物類型</t>
    <phoneticPr fontId="1" type="noConversion"/>
  </si>
  <si>
    <t>Minion</t>
    <phoneticPr fontId="1" type="noConversion"/>
  </si>
  <si>
    <t>Demogorgon</t>
    <phoneticPr fontId="1" type="noConversion"/>
  </si>
  <si>
    <t>怪物</t>
    <phoneticPr fontId="1" type="noConversion"/>
  </si>
  <si>
    <t>基礎血量</t>
    <phoneticPr fontId="1" type="noConversion"/>
  </si>
  <si>
    <t>基礎傷害</t>
    <phoneticPr fontId="1" type="noConversion"/>
  </si>
  <si>
    <t>層樓</t>
    <phoneticPr fontId="1" type="noConversion"/>
  </si>
  <si>
    <t>血量</t>
    <phoneticPr fontId="1" type="noConversion"/>
  </si>
  <si>
    <t>傷害</t>
    <phoneticPr fontId="1" type="noConversion"/>
  </si>
  <si>
    <t>玩家被打幾下死亡</t>
    <phoneticPr fontId="1" type="noConversion"/>
  </si>
  <si>
    <t>被玩家打幾下死亡</t>
    <phoneticPr fontId="1" type="noConversion"/>
  </si>
  <si>
    <t>武器基礎傷害</t>
    <phoneticPr fontId="1" type="noConversion"/>
  </si>
  <si>
    <t>防具基礎血量</t>
    <phoneticPr fontId="1" type="noConversion"/>
  </si>
  <si>
    <t>武器成長傷害</t>
    <phoneticPr fontId="1" type="noConversion"/>
  </si>
  <si>
    <t>防具成長血量</t>
    <phoneticPr fontId="1" type="noConversion"/>
  </si>
  <si>
    <t>飾品基礎護盾</t>
    <phoneticPr fontId="1" type="noConversion"/>
  </si>
  <si>
    <t>飾品成長護盾</t>
    <phoneticPr fontId="1" type="noConversion"/>
  </si>
  <si>
    <t>玩家基礎血量</t>
    <phoneticPr fontId="1" type="noConversion"/>
  </si>
  <si>
    <t>玩家基礎傷害</t>
    <phoneticPr fontId="1" type="noConversion"/>
  </si>
  <si>
    <t>玩家基礎護盾</t>
    <phoneticPr fontId="1" type="noConversion"/>
  </si>
  <si>
    <t>玩家防具血量</t>
    <phoneticPr fontId="1" type="noConversion"/>
  </si>
  <si>
    <t>玩家武器傷害</t>
    <phoneticPr fontId="1" type="noConversion"/>
  </si>
  <si>
    <t>玩家飾品護盾</t>
    <phoneticPr fontId="1" type="noConversion"/>
  </si>
  <si>
    <t>玩家隨機到力量數</t>
    <phoneticPr fontId="1" type="noConversion"/>
  </si>
  <si>
    <t>玩家隨機到血量數</t>
    <phoneticPr fontId="1" type="noConversion"/>
  </si>
  <si>
    <t>玩家隨機到護盾數</t>
    <phoneticPr fontId="1" type="noConversion"/>
  </si>
  <si>
    <t>玩家最終傷害</t>
    <phoneticPr fontId="1" type="noConversion"/>
  </si>
  <si>
    <t>玩家最終血量</t>
    <phoneticPr fontId="1" type="noConversion"/>
  </si>
  <si>
    <t>玩家最終護盾</t>
    <phoneticPr fontId="1" type="noConversion"/>
  </si>
  <si>
    <t>怪物血量成長</t>
    <phoneticPr fontId="1" type="noConversion"/>
  </si>
  <si>
    <t>怪物攻擊成長</t>
    <phoneticPr fontId="1" type="noConversion"/>
  </si>
  <si>
    <t>裝備品階力量(隨樓層成長)</t>
    <phoneticPr fontId="1" type="noConversion"/>
  </si>
  <si>
    <t>裝備品階血量(隨樓層成長)</t>
    <phoneticPr fontId="1" type="noConversion"/>
  </si>
  <si>
    <t>裝備品階護盾(隨樓層成長)</t>
    <phoneticPr fontId="1" type="noConversion"/>
  </si>
  <si>
    <t>Bothside Melee</t>
    <phoneticPr fontId="1" type="noConversion"/>
  </si>
  <si>
    <t>Two Blade Melee</t>
    <phoneticPr fontId="1" type="noConversion"/>
  </si>
  <si>
    <t>BOSS</t>
    <phoneticPr fontId="1" type="noConversion"/>
  </si>
  <si>
    <t>b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</si>
</sst>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4" borderId="0" xfId="0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36"/>
  <sheetViews>
    <sheetView tabSelected="1" workbookViewId="0">
      <pane xSplit="1" ySplit="1" topLeftCell="B2" activePane="bottomRight" state="frozen"/>
      <selection pane="topRight" activeCell="C1" sqref="C1"/>
      <selection pane="bottomLeft" activeCell="A3" sqref="A3"/>
      <selection pane="bottomRight" activeCell="F10" sqref="F10"/>
    </sheetView>
  </sheetViews>
  <sheetFormatPr defaultRowHeight="16.5" x14ac:dyDescent="0.25"/>
  <cols>
    <col min="1" max="1" width="22.25" customWidth="1"/>
    <col min="2" max="2" width="11" style="4" customWidth="1"/>
    <col min="3" max="3" width="9.875" style="4" customWidth="1"/>
    <col min="4" max="4" width="6.25" style="4" customWidth="1"/>
    <col min="5" max="5" width="9.25" style="4" customWidth="1"/>
    <col min="6" max="6" width="17.625" style="4" customWidth="1"/>
    <col min="7" max="7" width="18.5" style="4" customWidth="1"/>
    <col min="8" max="8" width="19.5" style="5" customWidth="1"/>
    <col min="9" max="9" width="13.625" customWidth="1"/>
    <col min="10" max="11" width="13.875" customWidth="1"/>
    <col min="12" max="12" width="13.625" customWidth="1"/>
    <col min="13" max="13" width="13.875" customWidth="1"/>
    <col min="14" max="14" width="17.625" customWidth="1"/>
    <col min="15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4" s="1" customFormat="1" x14ac:dyDescent="0.25">
      <c r="A1" s="1" t="s">
        <v>3</v>
      </c>
      <c r="B1" s="3" t="s">
        <v>4</v>
      </c>
      <c r="C1" s="3" t="s">
        <v>5</v>
      </c>
      <c r="D1" s="3" t="s">
        <v>7</v>
      </c>
      <c r="E1" s="3" t="s">
        <v>8</v>
      </c>
      <c r="F1" s="3" t="s">
        <v>10</v>
      </c>
      <c r="G1" s="3" t="s">
        <v>9</v>
      </c>
      <c r="H1" s="5" t="s">
        <v>6</v>
      </c>
      <c r="I1" s="1" t="s">
        <v>26</v>
      </c>
      <c r="J1" s="1" t="s">
        <v>27</v>
      </c>
      <c r="K1" s="1" t="s">
        <v>28</v>
      </c>
      <c r="L1" s="1" t="s">
        <v>21</v>
      </c>
      <c r="M1" s="1" t="s">
        <v>20</v>
      </c>
      <c r="N1" s="1" t="s">
        <v>22</v>
      </c>
    </row>
    <row r="2" spans="1:14" x14ac:dyDescent="0.25">
      <c r="A2" t="s">
        <v>34</v>
      </c>
      <c r="B2" s="4">
        <v>30</v>
      </c>
      <c r="C2" s="4">
        <v>60</v>
      </c>
      <c r="D2" s="4">
        <f>B2+(B2*H$2*H$4)</f>
        <v>45</v>
      </c>
      <c r="E2" s="4">
        <f>C2+(C2*H$2*H$6)</f>
        <v>72</v>
      </c>
      <c r="F2" s="6">
        <f>ROUNDUP(D2/I$2,0)</f>
        <v>3</v>
      </c>
      <c r="G2" s="6">
        <f>ROUNDUP((J$2+K$2)/E2,0)</f>
        <v>6</v>
      </c>
      <c r="H2" s="5">
        <v>1</v>
      </c>
      <c r="I2">
        <f>H22+L2</f>
        <v>22</v>
      </c>
      <c r="J2">
        <f>H20+M2</f>
        <v>320</v>
      </c>
      <c r="K2">
        <f>H24+N2</f>
        <v>80</v>
      </c>
      <c r="L2">
        <f>ROUNDDOWN(H8+(H10*H2)+(H2*H32*H26),0)</f>
        <v>12</v>
      </c>
      <c r="M2">
        <f>ROUNDDOWN(H12+(H2*H14)+(H2*H34*H28),0)</f>
        <v>120</v>
      </c>
      <c r="N2">
        <f>ROUNDDOWN(H16+((H2*H18)+(H2*H30*H36))*2,0)</f>
        <v>20</v>
      </c>
    </row>
    <row r="3" spans="1:14" x14ac:dyDescent="0.25">
      <c r="A3" t="s">
        <v>35</v>
      </c>
      <c r="B3" s="4">
        <v>15</v>
      </c>
      <c r="C3" s="4">
        <v>60</v>
      </c>
      <c r="D3" s="4">
        <f>B3+(B3*H$2*H$4)</f>
        <v>22.5</v>
      </c>
      <c r="E3" s="4">
        <f>C3+(C3*H$2*H$6)</f>
        <v>72</v>
      </c>
      <c r="F3" s="6">
        <f>ROUNDUP(D3/I$2,0)</f>
        <v>2</v>
      </c>
      <c r="G3" s="6">
        <f t="shared" ref="G3:G4" si="0">ROUNDUP((J$2+K$2)/E3,0)</f>
        <v>6</v>
      </c>
      <c r="H3" s="5" t="s">
        <v>29</v>
      </c>
    </row>
    <row r="4" spans="1:14" x14ac:dyDescent="0.25">
      <c r="A4" t="s">
        <v>36</v>
      </c>
      <c r="B4" s="4">
        <v>400</v>
      </c>
      <c r="C4" s="4">
        <v>100</v>
      </c>
      <c r="D4" s="4">
        <f>B4+(B4*H$2*H$4)</f>
        <v>600</v>
      </c>
      <c r="E4" s="4">
        <f>C4+(C4*H$2*H$6)</f>
        <v>120</v>
      </c>
      <c r="F4" s="6">
        <f>ROUNDUP(D4/I$2,0)</f>
        <v>28</v>
      </c>
      <c r="G4" s="6">
        <f t="shared" si="0"/>
        <v>4</v>
      </c>
      <c r="H4" s="5">
        <v>0.5</v>
      </c>
    </row>
    <row r="5" spans="1:14" x14ac:dyDescent="0.25">
      <c r="H5" s="5" t="s">
        <v>30</v>
      </c>
    </row>
    <row r="6" spans="1:14" x14ac:dyDescent="0.25">
      <c r="H6" s="5">
        <v>0.2</v>
      </c>
    </row>
    <row r="7" spans="1:14" x14ac:dyDescent="0.25">
      <c r="H7" s="5" t="s">
        <v>11</v>
      </c>
    </row>
    <row r="8" spans="1:14" x14ac:dyDescent="0.25">
      <c r="H8" s="5">
        <v>8</v>
      </c>
    </row>
    <row r="9" spans="1:14" x14ac:dyDescent="0.25">
      <c r="H9" s="5" t="s">
        <v>13</v>
      </c>
    </row>
    <row r="10" spans="1:14" x14ac:dyDescent="0.25">
      <c r="H10" s="5">
        <v>4</v>
      </c>
    </row>
    <row r="11" spans="1:14" x14ac:dyDescent="0.25">
      <c r="H11" s="5" t="s">
        <v>12</v>
      </c>
    </row>
    <row r="12" spans="1:14" x14ac:dyDescent="0.25">
      <c r="H12" s="5">
        <v>80</v>
      </c>
    </row>
    <row r="13" spans="1:14" x14ac:dyDescent="0.25">
      <c r="H13" s="5" t="s">
        <v>14</v>
      </c>
    </row>
    <row r="14" spans="1:14" x14ac:dyDescent="0.25">
      <c r="H14" s="5">
        <v>40</v>
      </c>
    </row>
    <row r="15" spans="1:14" x14ac:dyDescent="0.25">
      <c r="H15" s="5" t="s">
        <v>15</v>
      </c>
    </row>
    <row r="16" spans="1:14" x14ac:dyDescent="0.25">
      <c r="C16" s="4" t="s">
        <v>37</v>
      </c>
      <c r="H16" s="5">
        <v>10</v>
      </c>
    </row>
    <row r="17" spans="1:8" x14ac:dyDescent="0.25">
      <c r="A17" s="4"/>
      <c r="H17" s="5" t="s">
        <v>16</v>
      </c>
    </row>
    <row r="18" spans="1:8" x14ac:dyDescent="0.25">
      <c r="H18" s="5">
        <v>5</v>
      </c>
    </row>
    <row r="19" spans="1:8" x14ac:dyDescent="0.25">
      <c r="H19" s="5" t="s">
        <v>17</v>
      </c>
    </row>
    <row r="20" spans="1:8" x14ac:dyDescent="0.25">
      <c r="H20" s="5">
        <v>200</v>
      </c>
    </row>
    <row r="21" spans="1:8" x14ac:dyDescent="0.25">
      <c r="B21"/>
      <c r="H21" s="5" t="s">
        <v>18</v>
      </c>
    </row>
    <row r="22" spans="1:8" x14ac:dyDescent="0.25">
      <c r="B22"/>
      <c r="H22" s="5">
        <v>10</v>
      </c>
    </row>
    <row r="23" spans="1:8" x14ac:dyDescent="0.25">
      <c r="B23"/>
      <c r="H23" s="5" t="s">
        <v>19</v>
      </c>
    </row>
    <row r="24" spans="1:8" x14ac:dyDescent="0.25">
      <c r="B24"/>
      <c r="H24" s="5">
        <v>60</v>
      </c>
    </row>
    <row r="25" spans="1:8" x14ac:dyDescent="0.25">
      <c r="B25"/>
      <c r="H25" s="5" t="s">
        <v>31</v>
      </c>
    </row>
    <row r="26" spans="1:8" x14ac:dyDescent="0.25">
      <c r="B26"/>
      <c r="H26" s="5">
        <v>0.5</v>
      </c>
    </row>
    <row r="27" spans="1:8" x14ac:dyDescent="0.25">
      <c r="H27" s="5" t="s">
        <v>32</v>
      </c>
    </row>
    <row r="28" spans="1:8" x14ac:dyDescent="0.25">
      <c r="H28" s="5">
        <v>10</v>
      </c>
    </row>
    <row r="29" spans="1:8" x14ac:dyDescent="0.25">
      <c r="H29" s="5" t="s">
        <v>33</v>
      </c>
    </row>
    <row r="30" spans="1:8" x14ac:dyDescent="0.25">
      <c r="H30" s="5">
        <v>0.8</v>
      </c>
    </row>
    <row r="31" spans="1:8" x14ac:dyDescent="0.25">
      <c r="H31" s="5" t="s">
        <v>23</v>
      </c>
    </row>
    <row r="32" spans="1:8" x14ac:dyDescent="0.25">
      <c r="H32" s="5">
        <v>0</v>
      </c>
    </row>
    <row r="33" spans="8:8" x14ac:dyDescent="0.25">
      <c r="H33" s="5" t="s">
        <v>24</v>
      </c>
    </row>
    <row r="34" spans="8:8" x14ac:dyDescent="0.25">
      <c r="H34" s="5">
        <v>0</v>
      </c>
    </row>
    <row r="35" spans="8:8" x14ac:dyDescent="0.25">
      <c r="H35" s="5" t="s">
        <v>25</v>
      </c>
    </row>
    <row r="36" spans="8:8" x14ac:dyDescent="0.25">
      <c r="H36" s="5">
        <v>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0</v>
      </c>
      <c r="B1" s="5"/>
    </row>
    <row r="2" spans="1:2" x14ac:dyDescent="0.25">
      <c r="A2" s="4" t="s">
        <v>1</v>
      </c>
    </row>
    <row r="3" spans="1:2" x14ac:dyDescent="0.25">
      <c r="A3" s="4" t="s">
        <v>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2018-11-30T07:04:00Z</dcterms:modified>
</cp:coreProperties>
</file>